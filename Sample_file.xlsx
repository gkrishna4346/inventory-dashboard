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gopikrishnar/Desktop/GK/1_Daily Activities/LTP/2026/9_Sep'26/Monthly Updates/"/>
    </mc:Choice>
  </mc:AlternateContent>
  <xr:revisionPtr revIDLastSave="0" documentId="13_ncr:1_{9EBF21DE-7D79-194A-9306-DB07AA67A885}" xr6:coauthVersionLast="47" xr6:coauthVersionMax="47" xr10:uidLastSave="{00000000-0000-0000-0000-000000000000}"/>
  <bookViews>
    <workbookView xWindow="0" yWindow="660" windowWidth="34560" windowHeight="19840" activeTab="7" xr2:uid="{1B9D3B9F-78AA-864C-89E3-3B103704FFF1}"/>
  </bookViews>
  <sheets>
    <sheet name="LTP 21-Sep-26" sheetId="50" r:id="rId1"/>
    <sheet name="Planner Sequence" sheetId="124" r:id="rId2"/>
    <sheet name="Country End date" sheetId="22" r:id="rId3"/>
    <sheet name="Variance in LTP vs LTP" sheetId="21" r:id="rId4"/>
    <sheet name="Demand vs Supply" sheetId="119" r:id="rId5"/>
    <sheet name="HC Distribution" sheetId="112" r:id="rId6"/>
    <sheet name="Inventory" sheetId="123" r:id="rId7"/>
    <sheet name="Wave wise Effort" sheetId="120" r:id="rId8"/>
    <sheet name="Monthly Inventory" sheetId="121" state="hidden" r:id="rId9"/>
    <sheet name="Monthly supply" sheetId="83" state="hidden" r:id="rId10"/>
  </sheets>
  <externalReferences>
    <externalReference r:id="rId11"/>
    <externalReference r:id="rId12"/>
  </externalReferences>
  <definedNames>
    <definedName name="_xlnm._FilterDatabase" localSheetId="2" hidden="1">'Country End date'!#REF!</definedName>
    <definedName name="_xlnm._FilterDatabase" localSheetId="4" hidden="1">'Demand vs Supply'!$B$3:$N$32</definedName>
    <definedName name="_xlnm._FilterDatabase" localSheetId="6" hidden="1">Inventory!#REF!</definedName>
    <definedName name="_xlnm._FilterDatabase" localSheetId="0" hidden="1">'LTP 21-Sep-26'!$A$2:$U$72</definedName>
    <definedName name="_xlnm._FilterDatabase" localSheetId="8" hidden="1">'Monthly Inventory'!$AT$1:$AY$1</definedName>
    <definedName name="_xlnm._FilterDatabase" localSheetId="3" hidden="1">'Variance in LTP vs LTP'!$A$2:$P$72</definedName>
    <definedName name="_xlnm._FilterDatabase" localSheetId="7" hidden="1">'Wave wise Effort'!$A$10:$O$36</definedName>
    <definedName name="HL" localSheetId="5">'[1]LTP 18-Aug-25'!#REF!</definedName>
    <definedName name="HL" localSheetId="6">'[2]LTP_24-Mar-2025'!#REF!</definedName>
    <definedName name="HL">'LTP 21-Sep-26'!#REF!</definedName>
    <definedName name="Holiday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" i="123" l="1"/>
  <c r="H5" i="123"/>
  <c r="G5" i="123"/>
  <c r="F5" i="123"/>
  <c r="AZ36" i="120"/>
  <c r="AZ35" i="120"/>
  <c r="AZ33" i="120"/>
  <c r="AZ30" i="120"/>
  <c r="AZ12" i="120"/>
  <c r="AZ13" i="120"/>
  <c r="AZ14" i="120"/>
  <c r="AZ15" i="120"/>
  <c r="AZ16" i="120"/>
  <c r="AZ17" i="120"/>
  <c r="AZ11" i="120"/>
  <c r="BB35" i="120"/>
  <c r="BB33" i="120"/>
  <c r="BB30" i="120"/>
  <c r="BA30" i="120"/>
  <c r="BA12" i="120"/>
  <c r="BB12" i="120"/>
  <c r="BA13" i="120"/>
  <c r="BB13" i="120"/>
  <c r="BA14" i="120"/>
  <c r="BB14" i="120"/>
  <c r="BA16" i="120"/>
  <c r="BB16" i="120"/>
  <c r="BA17" i="120"/>
  <c r="BB17" i="120"/>
  <c r="BB11" i="120"/>
  <c r="BA11" i="120"/>
  <c r="AX36" i="120"/>
  <c r="BA36" i="120" s="1"/>
  <c r="AY36" i="120"/>
  <c r="BB36" i="120" s="1"/>
  <c r="AY35" i="120"/>
  <c r="AX35" i="120"/>
  <c r="BA35" i="120" s="1"/>
  <c r="AY33" i="120"/>
  <c r="AX33" i="120"/>
  <c r="BA33" i="120" s="1"/>
  <c r="AY30" i="120"/>
  <c r="AX30" i="120"/>
  <c r="AX17" i="120"/>
  <c r="AY17" i="120"/>
  <c r="AY16" i="120"/>
  <c r="AX16" i="120"/>
  <c r="AY15" i="120"/>
  <c r="BB15" i="120" s="1"/>
  <c r="AX15" i="120"/>
  <c r="BA15" i="120" s="1"/>
  <c r="AX14" i="120"/>
  <c r="AY14" i="120"/>
  <c r="AY13" i="120"/>
  <c r="AX13" i="120"/>
  <c r="AY12" i="120"/>
  <c r="AX12" i="120"/>
  <c r="AX11" i="120"/>
  <c r="I58" i="112"/>
  <c r="I57" i="112"/>
  <c r="G58" i="112"/>
  <c r="G57" i="112"/>
  <c r="D5" i="119"/>
  <c r="D4" i="119"/>
  <c r="J32" i="119"/>
  <c r="K32" i="119"/>
  <c r="I32" i="119"/>
  <c r="H57" i="112"/>
  <c r="M2" i="21"/>
  <c r="J2" i="21"/>
  <c r="H56" i="112" l="1"/>
  <c r="P71" i="121"/>
  <c r="O71" i="121"/>
  <c r="P70" i="121"/>
  <c r="O70" i="121"/>
  <c r="P69" i="121"/>
  <c r="O69" i="121"/>
  <c r="P68" i="121"/>
  <c r="O68" i="121"/>
  <c r="P67" i="121"/>
  <c r="O67" i="121"/>
  <c r="P66" i="121"/>
  <c r="O66" i="121"/>
  <c r="P65" i="121"/>
  <c r="O65" i="121"/>
  <c r="P64" i="121"/>
  <c r="O64" i="121"/>
  <c r="P63" i="121"/>
  <c r="O63" i="121"/>
  <c r="P62" i="121"/>
  <c r="O62" i="121"/>
  <c r="P61" i="121"/>
  <c r="O61" i="121"/>
  <c r="P60" i="121"/>
  <c r="O60" i="121"/>
  <c r="P59" i="121"/>
  <c r="O59" i="121"/>
  <c r="P58" i="121"/>
  <c r="O58" i="121"/>
  <c r="P57" i="121"/>
  <c r="O57" i="121"/>
  <c r="P56" i="121"/>
  <c r="O56" i="121"/>
  <c r="P55" i="121"/>
  <c r="O55" i="121"/>
  <c r="P54" i="121"/>
  <c r="O54" i="121"/>
  <c r="P53" i="121"/>
  <c r="O53" i="121"/>
  <c r="P52" i="121"/>
  <c r="O52" i="121"/>
  <c r="P51" i="121"/>
  <c r="O51" i="121"/>
  <c r="P50" i="121"/>
  <c r="O50" i="121"/>
  <c r="P49" i="121"/>
  <c r="O49" i="121"/>
  <c r="P48" i="121"/>
  <c r="O48" i="121"/>
  <c r="P47" i="121"/>
  <c r="O47" i="121"/>
  <c r="P46" i="121"/>
  <c r="O46" i="121"/>
  <c r="P45" i="121"/>
  <c r="O45" i="121"/>
  <c r="P44" i="121"/>
  <c r="O44" i="121"/>
  <c r="P43" i="121"/>
  <c r="O43" i="121"/>
  <c r="P42" i="121"/>
  <c r="O42" i="121"/>
  <c r="P41" i="121"/>
  <c r="O41" i="121"/>
  <c r="P40" i="121"/>
  <c r="O40" i="121"/>
  <c r="P39" i="121"/>
  <c r="O39" i="121"/>
  <c r="P38" i="121"/>
  <c r="O38" i="121"/>
  <c r="P37" i="121"/>
  <c r="O37" i="121"/>
  <c r="P36" i="121"/>
  <c r="O36" i="121"/>
  <c r="P35" i="121"/>
  <c r="O35" i="121"/>
  <c r="P34" i="121"/>
  <c r="O34" i="121"/>
  <c r="P33" i="121"/>
  <c r="O33" i="121"/>
  <c r="P32" i="121"/>
  <c r="O32" i="121"/>
  <c r="P31" i="121"/>
  <c r="O31" i="121"/>
  <c r="P30" i="121"/>
  <c r="O30" i="121"/>
  <c r="P29" i="121"/>
  <c r="O29" i="121"/>
  <c r="P28" i="121"/>
  <c r="O28" i="121"/>
  <c r="P27" i="121"/>
  <c r="O27" i="121"/>
  <c r="P26" i="121"/>
  <c r="O26" i="121"/>
  <c r="P25" i="121"/>
  <c r="O25" i="121"/>
  <c r="P24" i="121"/>
  <c r="O24" i="121"/>
  <c r="P23" i="121"/>
  <c r="O23" i="121"/>
  <c r="P22" i="121"/>
  <c r="O22" i="121"/>
  <c r="P21" i="121"/>
  <c r="O21" i="121"/>
  <c r="P20" i="121"/>
  <c r="O20" i="121"/>
  <c r="P19" i="121"/>
  <c r="O19" i="121"/>
  <c r="P18" i="121"/>
  <c r="O18" i="121"/>
  <c r="P17" i="121"/>
  <c r="O17" i="121"/>
  <c r="P16" i="121"/>
  <c r="O16" i="121"/>
  <c r="P15" i="121"/>
  <c r="O15" i="121"/>
  <c r="P14" i="121"/>
  <c r="O14" i="121"/>
  <c r="P13" i="121"/>
  <c r="O13" i="121"/>
  <c r="P12" i="121"/>
  <c r="O12" i="121"/>
  <c r="P11" i="121"/>
  <c r="O11" i="121"/>
  <c r="P10" i="121"/>
  <c r="O10" i="121"/>
  <c r="P9" i="121"/>
  <c r="O9" i="121"/>
  <c r="P8" i="121"/>
  <c r="O8" i="121"/>
  <c r="P7" i="121"/>
  <c r="O7" i="121"/>
  <c r="P6" i="121"/>
  <c r="O6" i="121"/>
  <c r="P5" i="121"/>
  <c r="O5" i="121"/>
  <c r="P4" i="121"/>
  <c r="O4" i="121"/>
  <c r="P3" i="121"/>
  <c r="O3" i="121"/>
  <c r="P2" i="121"/>
  <c r="O2" i="121"/>
  <c r="N80" i="120"/>
  <c r="N79" i="120"/>
  <c r="N78" i="120"/>
  <c r="N77" i="120"/>
  <c r="N76" i="120"/>
  <c r="N75" i="120"/>
  <c r="N74" i="120"/>
  <c r="N73" i="120"/>
  <c r="N72" i="120"/>
  <c r="N71" i="120"/>
  <c r="N70" i="120"/>
  <c r="N69" i="120"/>
  <c r="N68" i="120"/>
  <c r="N67" i="120"/>
  <c r="N66" i="120"/>
  <c r="N65" i="120"/>
  <c r="N64" i="120"/>
  <c r="N63" i="120"/>
  <c r="N62" i="120"/>
  <c r="N61" i="120"/>
  <c r="N60" i="120"/>
  <c r="N59" i="120"/>
  <c r="N58" i="120"/>
  <c r="N57" i="120"/>
  <c r="N56" i="120"/>
  <c r="N55" i="120"/>
  <c r="N54" i="120"/>
  <c r="N53" i="120"/>
  <c r="N52" i="120"/>
  <c r="N51" i="120"/>
  <c r="N50" i="120"/>
  <c r="N49" i="120"/>
  <c r="N48" i="120"/>
  <c r="N47" i="120"/>
  <c r="N46" i="120"/>
  <c r="N45" i="120"/>
  <c r="N44" i="120"/>
  <c r="N43" i="120"/>
  <c r="N42" i="120"/>
  <c r="N41" i="120"/>
  <c r="N40" i="120"/>
  <c r="N39" i="120"/>
  <c r="N38" i="120"/>
  <c r="M80" i="120"/>
  <c r="M79" i="120"/>
  <c r="M78" i="120"/>
  <c r="M77" i="120"/>
  <c r="M76" i="120"/>
  <c r="M75" i="120"/>
  <c r="M74" i="120"/>
  <c r="M73" i="120"/>
  <c r="M72" i="120"/>
  <c r="M71" i="120"/>
  <c r="M70" i="120"/>
  <c r="M69" i="120"/>
  <c r="M68" i="120"/>
  <c r="M67" i="120"/>
  <c r="M66" i="120"/>
  <c r="M65" i="120"/>
  <c r="M64" i="120"/>
  <c r="M63" i="120"/>
  <c r="M62" i="120"/>
  <c r="M61" i="120"/>
  <c r="M60" i="120"/>
  <c r="M59" i="120"/>
  <c r="M58" i="120"/>
  <c r="M57" i="120"/>
  <c r="M56" i="120"/>
  <c r="M55" i="120"/>
  <c r="M54" i="120"/>
  <c r="M53" i="120"/>
  <c r="M52" i="120"/>
  <c r="M51" i="120"/>
  <c r="M50" i="120"/>
  <c r="M49" i="120"/>
  <c r="M48" i="120"/>
  <c r="M47" i="120"/>
  <c r="M46" i="120"/>
  <c r="M45" i="120"/>
  <c r="M44" i="120"/>
  <c r="M43" i="120"/>
  <c r="M42" i="120"/>
  <c r="M41" i="120"/>
  <c r="M40" i="120"/>
  <c r="M39" i="120"/>
  <c r="M38" i="120"/>
  <c r="L80" i="120"/>
  <c r="L79" i="120"/>
  <c r="L78" i="120"/>
  <c r="L77" i="120"/>
  <c r="L76" i="120"/>
  <c r="L75" i="120"/>
  <c r="L74" i="120"/>
  <c r="L73" i="120"/>
  <c r="L72" i="120"/>
  <c r="L71" i="120"/>
  <c r="L70" i="120"/>
  <c r="L69" i="120"/>
  <c r="L68" i="120"/>
  <c r="L67" i="120"/>
  <c r="L66" i="120"/>
  <c r="L65" i="120"/>
  <c r="L64" i="120"/>
  <c r="L63" i="120"/>
  <c r="L62" i="120"/>
  <c r="L61" i="120"/>
  <c r="L60" i="120"/>
  <c r="L59" i="120"/>
  <c r="L58" i="120"/>
  <c r="L57" i="120"/>
  <c r="L56" i="120"/>
  <c r="L55" i="120"/>
  <c r="L54" i="120"/>
  <c r="L53" i="120"/>
  <c r="L52" i="120"/>
  <c r="L51" i="120"/>
  <c r="L50" i="120"/>
  <c r="L49" i="120"/>
  <c r="L48" i="120"/>
  <c r="L47" i="120"/>
  <c r="L46" i="120"/>
  <c r="L45" i="120"/>
  <c r="L44" i="120"/>
  <c r="L43" i="120"/>
  <c r="L42" i="120"/>
  <c r="L41" i="120"/>
  <c r="L40" i="120"/>
  <c r="L39" i="120"/>
  <c r="L38" i="120"/>
  <c r="K80" i="120"/>
  <c r="K79" i="120"/>
  <c r="K78" i="120"/>
  <c r="K77" i="120"/>
  <c r="K76" i="120"/>
  <c r="K75" i="120"/>
  <c r="K74" i="120"/>
  <c r="K73" i="120"/>
  <c r="K72" i="120"/>
  <c r="K71" i="120"/>
  <c r="K70" i="120"/>
  <c r="K69" i="120"/>
  <c r="K68" i="120"/>
  <c r="K67" i="120"/>
  <c r="K66" i="120"/>
  <c r="K65" i="120"/>
  <c r="K64" i="120"/>
  <c r="K63" i="120"/>
  <c r="K62" i="120"/>
  <c r="K61" i="120"/>
  <c r="K60" i="120"/>
  <c r="K59" i="120"/>
  <c r="K58" i="120"/>
  <c r="K57" i="120"/>
  <c r="K56" i="120"/>
  <c r="K55" i="120"/>
  <c r="K54" i="120"/>
  <c r="K53" i="120"/>
  <c r="K52" i="120"/>
  <c r="K51" i="120"/>
  <c r="K50" i="120"/>
  <c r="K49" i="120"/>
  <c r="K48" i="120"/>
  <c r="K47" i="120"/>
  <c r="K46" i="120"/>
  <c r="K45" i="120"/>
  <c r="K44" i="120"/>
  <c r="K43" i="120"/>
  <c r="K42" i="120"/>
  <c r="K41" i="120"/>
  <c r="K40" i="120"/>
  <c r="K39" i="120"/>
  <c r="K38" i="120"/>
  <c r="N37" i="120"/>
  <c r="M37" i="120"/>
  <c r="L37" i="120"/>
  <c r="K37" i="120"/>
  <c r="L36" i="120"/>
  <c r="L35" i="120"/>
  <c r="L32" i="120"/>
  <c r="L29" i="120"/>
  <c r="M36" i="120"/>
  <c r="M35" i="120"/>
  <c r="M34" i="120"/>
  <c r="M33" i="120"/>
  <c r="M32" i="120"/>
  <c r="M31" i="120"/>
  <c r="M30" i="120"/>
  <c r="M29" i="120"/>
  <c r="N36" i="120"/>
  <c r="N35" i="120"/>
  <c r="N34" i="120"/>
  <c r="N33" i="120"/>
  <c r="N32" i="120"/>
  <c r="N31" i="120"/>
  <c r="N30" i="120"/>
  <c r="N29" i="120"/>
  <c r="N28" i="120"/>
  <c r="N27" i="120"/>
  <c r="N26" i="120"/>
  <c r="N25" i="120"/>
  <c r="N24" i="120"/>
  <c r="N23" i="120"/>
  <c r="N22" i="120"/>
  <c r="N21" i="120"/>
  <c r="N20" i="120"/>
  <c r="N19" i="120"/>
  <c r="N18" i="120"/>
  <c r="N17" i="120"/>
  <c r="N16" i="120"/>
  <c r="N15" i="120"/>
  <c r="N14" i="120"/>
  <c r="N13" i="120"/>
  <c r="N12" i="120"/>
  <c r="N11" i="120"/>
  <c r="H54" i="112"/>
  <c r="H53" i="112"/>
  <c r="H27" i="123" l="1"/>
  <c r="G27" i="123"/>
  <c r="H52" i="112" l="1"/>
  <c r="H21" i="123" l="1"/>
  <c r="G21" i="123"/>
  <c r="C16" i="120"/>
  <c r="AV16" i="120"/>
  <c r="AS16" i="120"/>
  <c r="AT16" i="120"/>
  <c r="AU16" i="120"/>
  <c r="H51" i="112" l="1"/>
  <c r="AS12" i="120" l="1"/>
  <c r="AT12" i="120"/>
  <c r="AU12" i="120"/>
  <c r="AS13" i="120"/>
  <c r="AT13" i="120"/>
  <c r="AU13" i="120"/>
  <c r="AS14" i="120"/>
  <c r="AT14" i="120"/>
  <c r="AU14" i="120"/>
  <c r="AS15" i="120"/>
  <c r="AT15" i="120"/>
  <c r="AV15" i="120"/>
  <c r="AS17" i="120"/>
  <c r="AT17" i="120"/>
  <c r="AU17" i="120"/>
  <c r="AS18" i="120"/>
  <c r="AT18" i="120"/>
  <c r="AU18" i="120"/>
  <c r="AS19" i="120"/>
  <c r="AT19" i="120"/>
  <c r="AU19" i="120"/>
  <c r="AS20" i="120"/>
  <c r="AT20" i="120"/>
  <c r="AU20" i="120"/>
  <c r="AS21" i="120"/>
  <c r="AT21" i="120"/>
  <c r="AU21" i="120"/>
  <c r="AS22" i="120"/>
  <c r="AT22" i="120"/>
  <c r="AU22" i="120"/>
  <c r="AS23" i="120"/>
  <c r="AT23" i="120"/>
  <c r="AU23" i="120"/>
  <c r="AS24" i="120"/>
  <c r="AT24" i="120"/>
  <c r="AU24" i="120"/>
  <c r="AS25" i="120"/>
  <c r="AT25" i="120"/>
  <c r="AU25" i="120"/>
  <c r="AS26" i="120"/>
  <c r="AT26" i="120"/>
  <c r="AU26" i="120"/>
  <c r="AS27" i="120"/>
  <c r="AS28" i="120"/>
  <c r="AT28" i="120"/>
  <c r="AS29" i="120"/>
  <c r="AS30" i="120"/>
  <c r="AS31" i="120"/>
  <c r="AS32" i="120"/>
  <c r="AS33" i="120"/>
  <c r="AS34" i="120"/>
  <c r="AS35" i="120"/>
  <c r="AS36" i="120"/>
  <c r="AU11" i="120"/>
  <c r="AT11" i="120"/>
  <c r="AS11" i="120"/>
  <c r="H49" i="112"/>
  <c r="R4" i="22" a="1"/>
  <c r="R5" i="22" a="1"/>
  <c r="R6" i="22" a="1"/>
  <c r="H48" i="112" l="1"/>
  <c r="H46" i="112" l="1"/>
  <c r="H47" i="112"/>
  <c r="AU15" i="120"/>
  <c r="H45" i="112" l="1"/>
  <c r="AU36" i="120"/>
  <c r="AU35" i="120"/>
  <c r="AU34" i="120"/>
  <c r="AU33" i="120"/>
  <c r="AU32" i="120"/>
  <c r="AU31" i="120"/>
  <c r="AU30" i="120"/>
  <c r="AU29" i="120"/>
  <c r="AU28" i="120"/>
  <c r="AU27" i="120"/>
  <c r="AS37" i="120"/>
  <c r="AT37" i="120"/>
  <c r="AU37" i="120"/>
  <c r="AV37" i="120"/>
  <c r="AS38" i="120"/>
  <c r="AT38" i="120"/>
  <c r="AU38" i="120"/>
  <c r="AV38" i="120"/>
  <c r="AS39" i="120"/>
  <c r="AT39" i="120"/>
  <c r="AU39" i="120"/>
  <c r="AV39" i="120"/>
  <c r="AS40" i="120"/>
  <c r="AT40" i="120"/>
  <c r="AU40" i="120"/>
  <c r="AV40" i="120"/>
  <c r="AS41" i="120"/>
  <c r="AT41" i="120"/>
  <c r="AU41" i="120"/>
  <c r="AV41" i="120"/>
  <c r="AS42" i="120"/>
  <c r="AT42" i="120"/>
  <c r="AU42" i="120"/>
  <c r="AV42" i="120"/>
  <c r="AS43" i="120"/>
  <c r="AT43" i="120"/>
  <c r="AU43" i="120"/>
  <c r="AV43" i="120"/>
  <c r="AS44" i="120"/>
  <c r="AT44" i="120"/>
  <c r="AU44" i="120"/>
  <c r="AV44" i="120"/>
  <c r="AS45" i="120"/>
  <c r="AT45" i="120"/>
  <c r="AU45" i="120"/>
  <c r="AV45" i="120"/>
  <c r="AS46" i="120"/>
  <c r="AT46" i="120"/>
  <c r="AU46" i="120"/>
  <c r="AV46" i="120"/>
  <c r="AS47" i="120"/>
  <c r="AT47" i="120"/>
  <c r="AU47" i="120"/>
  <c r="AV47" i="120"/>
  <c r="AS48" i="120"/>
  <c r="AT48" i="120"/>
  <c r="AU48" i="120"/>
  <c r="AV48" i="120"/>
  <c r="AS49" i="120"/>
  <c r="AT49" i="120"/>
  <c r="AU49" i="120"/>
  <c r="AV49" i="120"/>
  <c r="AS50" i="120"/>
  <c r="AT50" i="120"/>
  <c r="AU50" i="120"/>
  <c r="AV50" i="120"/>
  <c r="AS51" i="120"/>
  <c r="AT51" i="120"/>
  <c r="AU51" i="120"/>
  <c r="AV51" i="120"/>
  <c r="AS52" i="120"/>
  <c r="AT52" i="120"/>
  <c r="AU52" i="120"/>
  <c r="AV52" i="120"/>
  <c r="AS53" i="120"/>
  <c r="AT53" i="120"/>
  <c r="AU53" i="120"/>
  <c r="AV53" i="120"/>
  <c r="AS54" i="120"/>
  <c r="AT54" i="120"/>
  <c r="AU54" i="120"/>
  <c r="AV54" i="120"/>
  <c r="AS55" i="120"/>
  <c r="AT55" i="120"/>
  <c r="AU55" i="120"/>
  <c r="AV55" i="120"/>
  <c r="AS56" i="120"/>
  <c r="AT56" i="120"/>
  <c r="AU56" i="120"/>
  <c r="AV56" i="120"/>
  <c r="AS57" i="120"/>
  <c r="AT57" i="120"/>
  <c r="AU57" i="120"/>
  <c r="AV57" i="120"/>
  <c r="AS58" i="120"/>
  <c r="AT58" i="120"/>
  <c r="AU58" i="120"/>
  <c r="AV58" i="120"/>
  <c r="AS59" i="120"/>
  <c r="AT59" i="120"/>
  <c r="AU59" i="120"/>
  <c r="AV59" i="120"/>
  <c r="AS60" i="120"/>
  <c r="AT60" i="120"/>
  <c r="AU60" i="120"/>
  <c r="AV60" i="120"/>
  <c r="AS61" i="120"/>
  <c r="AT61" i="120"/>
  <c r="AU61" i="120"/>
  <c r="AV61" i="120"/>
  <c r="AS62" i="120"/>
  <c r="AT62" i="120"/>
  <c r="AU62" i="120"/>
  <c r="AV62" i="120"/>
  <c r="AS63" i="120"/>
  <c r="AT63" i="120"/>
  <c r="AU63" i="120"/>
  <c r="AV63" i="120"/>
  <c r="AS64" i="120"/>
  <c r="AT64" i="120"/>
  <c r="AU64" i="120"/>
  <c r="AV64" i="120"/>
  <c r="AS65" i="120"/>
  <c r="AT65" i="120"/>
  <c r="AU65" i="120"/>
  <c r="AV65" i="120"/>
  <c r="AS66" i="120"/>
  <c r="AT66" i="120"/>
  <c r="AU66" i="120"/>
  <c r="AV66" i="120"/>
  <c r="AS67" i="120"/>
  <c r="AT67" i="120"/>
  <c r="AU67" i="120"/>
  <c r="AV67" i="120"/>
  <c r="AS68" i="120"/>
  <c r="AT68" i="120"/>
  <c r="AU68" i="120"/>
  <c r="AV68" i="120"/>
  <c r="AS69" i="120"/>
  <c r="AT69" i="120"/>
  <c r="AU69" i="120"/>
  <c r="AV69" i="120"/>
  <c r="AS70" i="120"/>
  <c r="AT70" i="120"/>
  <c r="AU70" i="120"/>
  <c r="AV70" i="120"/>
  <c r="AS71" i="120"/>
  <c r="AT71" i="120"/>
  <c r="AU71" i="120"/>
  <c r="AV71" i="120"/>
  <c r="AS72" i="120"/>
  <c r="AT72" i="120"/>
  <c r="AU72" i="120"/>
  <c r="AV72" i="120"/>
  <c r="AS73" i="120"/>
  <c r="AT73" i="120"/>
  <c r="AU73" i="120"/>
  <c r="AV73" i="120"/>
  <c r="AS74" i="120"/>
  <c r="AT74" i="120"/>
  <c r="AU74" i="120"/>
  <c r="AV74" i="120"/>
  <c r="AS75" i="120"/>
  <c r="AT75" i="120"/>
  <c r="AU75" i="120"/>
  <c r="AV75" i="120"/>
  <c r="AS76" i="120"/>
  <c r="AT76" i="120"/>
  <c r="AU76" i="120"/>
  <c r="AV76" i="120"/>
  <c r="AS77" i="120"/>
  <c r="AT77" i="120"/>
  <c r="AU77" i="120"/>
  <c r="AV77" i="120"/>
  <c r="AS78" i="120"/>
  <c r="AT78" i="120"/>
  <c r="AU78" i="120"/>
  <c r="AV78" i="120"/>
  <c r="AS79" i="120"/>
  <c r="AT79" i="120"/>
  <c r="AU79" i="120"/>
  <c r="AV79" i="120"/>
  <c r="AS80" i="120"/>
  <c r="AT80" i="120"/>
  <c r="AU80" i="120"/>
  <c r="AV80" i="120"/>
  <c r="AV27" i="120"/>
  <c r="AT27" i="120"/>
  <c r="D5" i="123"/>
  <c r="D6" i="123" s="1"/>
  <c r="I6" i="123"/>
  <c r="H6" i="123"/>
  <c r="G6" i="123"/>
  <c r="F6" i="123" l="1"/>
  <c r="E5" i="123"/>
  <c r="E6" i="123" s="1"/>
  <c r="C5" i="123"/>
  <c r="C6" i="123" s="1"/>
  <c r="C9" i="123" s="1"/>
  <c r="H44" i="112" l="1"/>
  <c r="AV26" i="120" l="1"/>
  <c r="AV23" i="120"/>
  <c r="AV24" i="120"/>
  <c r="H43" i="112"/>
  <c r="E4" i="22" l="1"/>
  <c r="H42" i="112"/>
  <c r="T54" i="121"/>
  <c r="T55" i="121"/>
  <c r="T56" i="121"/>
  <c r="T57" i="121"/>
  <c r="T58" i="121"/>
  <c r="T59" i="121"/>
  <c r="T60" i="121"/>
  <c r="T61" i="121"/>
  <c r="T62" i="121"/>
  <c r="T63" i="121"/>
  <c r="T64" i="121"/>
  <c r="T65" i="121"/>
  <c r="T66" i="121"/>
  <c r="T67" i="121"/>
  <c r="T68" i="121"/>
  <c r="T69" i="121"/>
  <c r="T70" i="121"/>
  <c r="T71" i="121"/>
  <c r="T72" i="121"/>
  <c r="T73" i="121"/>
  <c r="T74" i="121"/>
  <c r="T75" i="121"/>
  <c r="T76" i="121"/>
  <c r="T77" i="121"/>
  <c r="T78" i="121"/>
  <c r="T79" i="121"/>
  <c r="T80" i="121"/>
  <c r="T81" i="121"/>
  <c r="T82" i="121"/>
  <c r="T83" i="121"/>
  <c r="T84" i="121"/>
  <c r="T85" i="121"/>
  <c r="T86" i="121"/>
  <c r="H41" i="112"/>
  <c r="R7" i="120" l="1"/>
  <c r="R6" i="120"/>
  <c r="R5" i="120"/>
  <c r="R4" i="120"/>
  <c r="R3" i="120"/>
  <c r="S7" i="120"/>
  <c r="S6" i="120"/>
  <c r="S5" i="120"/>
  <c r="S4" i="120"/>
  <c r="Y4" i="120"/>
  <c r="Z4" i="120"/>
  <c r="AA4" i="120"/>
  <c r="AB4" i="120"/>
  <c r="Y5" i="120"/>
  <c r="Z5" i="120"/>
  <c r="AA5" i="120"/>
  <c r="AB5" i="120"/>
  <c r="Y6" i="120"/>
  <c r="Z6" i="120"/>
  <c r="AA6" i="120"/>
  <c r="AB6" i="120"/>
  <c r="Y7" i="120"/>
  <c r="Z7" i="120"/>
  <c r="AA7" i="120"/>
  <c r="AB7" i="120"/>
  <c r="Y3" i="120"/>
  <c r="T123" i="121"/>
  <c r="T124" i="121"/>
  <c r="T125" i="121"/>
  <c r="T126" i="121"/>
  <c r="T127" i="121"/>
  <c r="Z54" i="121"/>
  <c r="Z55" i="121"/>
  <c r="Z56" i="121"/>
  <c r="Z57" i="121"/>
  <c r="Z58" i="121"/>
  <c r="Z59" i="121"/>
  <c r="Z60" i="121"/>
  <c r="Z61" i="121"/>
  <c r="Z62" i="121"/>
  <c r="Z63" i="121"/>
  <c r="Z64" i="121"/>
  <c r="Z65" i="121"/>
  <c r="Z66" i="121"/>
  <c r="Z67" i="121"/>
  <c r="Z68" i="121"/>
  <c r="Z69" i="121"/>
  <c r="Z70" i="121"/>
  <c r="Z71" i="121"/>
  <c r="Z72" i="121"/>
  <c r="Z73" i="121"/>
  <c r="Z74" i="121"/>
  <c r="Z75" i="121"/>
  <c r="Z76" i="121"/>
  <c r="Z77" i="121"/>
  <c r="Z78" i="121"/>
  <c r="Z79" i="121"/>
  <c r="Z80" i="121"/>
  <c r="Z81" i="121"/>
  <c r="Z82" i="121"/>
  <c r="Z83" i="121"/>
  <c r="Z84" i="121"/>
  <c r="Z85" i="121"/>
  <c r="Z86" i="121"/>
  <c r="Z87" i="121"/>
  <c r="T4" i="120"/>
  <c r="U4" i="120"/>
  <c r="T5" i="120"/>
  <c r="U5" i="120"/>
  <c r="T6" i="120"/>
  <c r="U6" i="120"/>
  <c r="T7" i="120"/>
  <c r="U7" i="120"/>
  <c r="X38" i="121"/>
  <c r="X82" i="121" s="1"/>
  <c r="X39" i="121"/>
  <c r="X83" i="121" s="1"/>
  <c r="X123" i="121" s="1"/>
  <c r="X40" i="121"/>
  <c r="X84" i="121" s="1"/>
  <c r="X124" i="121" s="1"/>
  <c r="X41" i="121"/>
  <c r="X85" i="121" s="1"/>
  <c r="X125" i="121" s="1"/>
  <c r="X42" i="121"/>
  <c r="X86" i="121" s="1"/>
  <c r="X126" i="121" s="1"/>
  <c r="R8" i="120" l="1"/>
  <c r="V7" i="120"/>
  <c r="AC6" i="120"/>
  <c r="Y8" i="120"/>
  <c r="X87" i="121"/>
  <c r="X127" i="121" s="1"/>
  <c r="AC7" i="120"/>
  <c r="V6" i="120"/>
  <c r="H39" i="112" l="1"/>
  <c r="H38" i="112" l="1"/>
  <c r="H37" i="112"/>
  <c r="H40" i="112" l="1"/>
  <c r="K5" i="22"/>
  <c r="AO5" i="22" s="1"/>
  <c r="K6" i="22"/>
  <c r="AO6" i="22" s="1"/>
  <c r="E5" i="22"/>
  <c r="E6" i="22"/>
  <c r="BH55" i="50"/>
  <c r="BI55" i="50"/>
  <c r="BJ55" i="50"/>
  <c r="BK55" i="50"/>
  <c r="BL55" i="50"/>
  <c r="BM55" i="50"/>
  <c r="BN55" i="50"/>
  <c r="BO55" i="50"/>
  <c r="BP55" i="50"/>
  <c r="BQ55" i="50"/>
  <c r="BR55" i="50"/>
  <c r="BH56" i="50"/>
  <c r="BI56" i="50"/>
  <c r="BJ56" i="50"/>
  <c r="BK56" i="50"/>
  <c r="BL56" i="50"/>
  <c r="BM56" i="50"/>
  <c r="BN56" i="50"/>
  <c r="BO56" i="50"/>
  <c r="BP56" i="50"/>
  <c r="BQ56" i="50"/>
  <c r="BR56" i="50"/>
  <c r="BH57" i="50"/>
  <c r="BI57" i="50"/>
  <c r="BJ57" i="50"/>
  <c r="BK57" i="50"/>
  <c r="BL57" i="50"/>
  <c r="BM57" i="50"/>
  <c r="BN57" i="50"/>
  <c r="BO57" i="50"/>
  <c r="BP57" i="50"/>
  <c r="BQ57" i="50"/>
  <c r="BR57" i="50"/>
  <c r="BH58" i="50"/>
  <c r="BI58" i="50"/>
  <c r="BJ58" i="50"/>
  <c r="BK58" i="50"/>
  <c r="BL58" i="50"/>
  <c r="BM58" i="50"/>
  <c r="BN58" i="50"/>
  <c r="BO58" i="50"/>
  <c r="BP58" i="50"/>
  <c r="BQ58" i="50"/>
  <c r="BR58" i="50"/>
  <c r="BH59" i="50"/>
  <c r="BI59" i="50"/>
  <c r="BJ59" i="50"/>
  <c r="BK59" i="50"/>
  <c r="BL59" i="50"/>
  <c r="BM59" i="50"/>
  <c r="BN59" i="50"/>
  <c r="BO59" i="50"/>
  <c r="BP59" i="50"/>
  <c r="BQ59" i="50"/>
  <c r="BR59" i="50"/>
  <c r="BH60" i="50"/>
  <c r="BI60" i="50"/>
  <c r="BJ60" i="50"/>
  <c r="BK60" i="50"/>
  <c r="BL60" i="50"/>
  <c r="BM60" i="50"/>
  <c r="BN60" i="50"/>
  <c r="BO60" i="50"/>
  <c r="BP60" i="50"/>
  <c r="BQ60" i="50"/>
  <c r="BR60" i="50"/>
  <c r="BH61" i="50"/>
  <c r="BI61" i="50"/>
  <c r="BJ61" i="50"/>
  <c r="BK61" i="50"/>
  <c r="BL61" i="50"/>
  <c r="BM61" i="50"/>
  <c r="BN61" i="50"/>
  <c r="BO61" i="50"/>
  <c r="BP61" i="50"/>
  <c r="BQ61" i="50"/>
  <c r="BR61" i="50"/>
  <c r="BH62" i="50"/>
  <c r="BI62" i="50"/>
  <c r="BJ62" i="50"/>
  <c r="BK62" i="50"/>
  <c r="BL62" i="50"/>
  <c r="BM62" i="50"/>
  <c r="BN62" i="50"/>
  <c r="BO62" i="50"/>
  <c r="BP62" i="50"/>
  <c r="BQ62" i="50"/>
  <c r="BR62" i="50"/>
  <c r="BH63" i="50"/>
  <c r="BI63" i="50"/>
  <c r="BJ63" i="50"/>
  <c r="BK63" i="50"/>
  <c r="BL63" i="50"/>
  <c r="BM63" i="50"/>
  <c r="BN63" i="50"/>
  <c r="BO63" i="50"/>
  <c r="BP63" i="50"/>
  <c r="BQ63" i="50"/>
  <c r="BR63" i="50"/>
  <c r="BH64" i="50"/>
  <c r="BI64" i="50"/>
  <c r="BJ64" i="50"/>
  <c r="BK64" i="50"/>
  <c r="BL64" i="50"/>
  <c r="BM64" i="50"/>
  <c r="BN64" i="50"/>
  <c r="BO64" i="50"/>
  <c r="BP64" i="50"/>
  <c r="BQ64" i="50"/>
  <c r="BR64" i="50"/>
  <c r="BH65" i="50"/>
  <c r="BI65" i="50"/>
  <c r="BJ65" i="50"/>
  <c r="BK65" i="50"/>
  <c r="BL65" i="50"/>
  <c r="BM65" i="50"/>
  <c r="BN65" i="50"/>
  <c r="BO65" i="50"/>
  <c r="BP65" i="50"/>
  <c r="BQ65" i="50"/>
  <c r="BR65" i="50"/>
  <c r="BH66" i="50"/>
  <c r="BI66" i="50"/>
  <c r="BJ66" i="50"/>
  <c r="BK66" i="50"/>
  <c r="BL66" i="50"/>
  <c r="BM66" i="50"/>
  <c r="BN66" i="50"/>
  <c r="BO66" i="50"/>
  <c r="BP66" i="50"/>
  <c r="BQ66" i="50"/>
  <c r="BR66" i="50"/>
  <c r="BH67" i="50"/>
  <c r="BI67" i="50"/>
  <c r="BJ67" i="50"/>
  <c r="BK67" i="50"/>
  <c r="BL67" i="50"/>
  <c r="BM67" i="50"/>
  <c r="BN67" i="50"/>
  <c r="BO67" i="50"/>
  <c r="BP67" i="50"/>
  <c r="BQ67" i="50"/>
  <c r="BR67" i="50"/>
  <c r="BH68" i="50"/>
  <c r="BI68" i="50"/>
  <c r="BJ68" i="50"/>
  <c r="BK68" i="50"/>
  <c r="BL68" i="50"/>
  <c r="BM68" i="50"/>
  <c r="BN68" i="50"/>
  <c r="BO68" i="50"/>
  <c r="BP68" i="50"/>
  <c r="BQ68" i="50"/>
  <c r="BR68" i="50"/>
  <c r="BH69" i="50"/>
  <c r="BI69" i="50"/>
  <c r="BJ69" i="50"/>
  <c r="BK69" i="50"/>
  <c r="BL69" i="50"/>
  <c r="BM69" i="50"/>
  <c r="BN69" i="50"/>
  <c r="BO69" i="50"/>
  <c r="BP69" i="50"/>
  <c r="BQ69" i="50"/>
  <c r="BR69" i="50"/>
  <c r="BH70" i="50"/>
  <c r="BI70" i="50"/>
  <c r="BJ70" i="50"/>
  <c r="BK70" i="50"/>
  <c r="BL70" i="50"/>
  <c r="BM70" i="50"/>
  <c r="BN70" i="50"/>
  <c r="BO70" i="50"/>
  <c r="BP70" i="50"/>
  <c r="BQ70" i="50"/>
  <c r="BR70" i="50"/>
  <c r="BH71" i="50"/>
  <c r="BI71" i="50"/>
  <c r="BJ71" i="50"/>
  <c r="BK71" i="50"/>
  <c r="BL71" i="50"/>
  <c r="BM71" i="50"/>
  <c r="BN71" i="50"/>
  <c r="BO71" i="50"/>
  <c r="BP71" i="50"/>
  <c r="BQ71" i="50"/>
  <c r="BR71" i="50"/>
  <c r="BH72" i="50"/>
  <c r="BI72" i="50"/>
  <c r="BJ72" i="50"/>
  <c r="BK72" i="50"/>
  <c r="BL72" i="50"/>
  <c r="BM72" i="50"/>
  <c r="BN72" i="50"/>
  <c r="BO72" i="50"/>
  <c r="BP72" i="50"/>
  <c r="BQ72" i="50"/>
  <c r="BR72" i="50"/>
  <c r="BH29" i="50"/>
  <c r="BI29" i="50"/>
  <c r="BJ29" i="50"/>
  <c r="BK29" i="50"/>
  <c r="BL29" i="50"/>
  <c r="BM29" i="50"/>
  <c r="BN29" i="50"/>
  <c r="BO29" i="50"/>
  <c r="BP29" i="50"/>
  <c r="BQ29" i="50"/>
  <c r="BR29" i="50"/>
  <c r="BH30" i="50"/>
  <c r="BI30" i="50"/>
  <c r="BJ30" i="50"/>
  <c r="BK30" i="50"/>
  <c r="BL30" i="50"/>
  <c r="BM30" i="50"/>
  <c r="BN30" i="50"/>
  <c r="BO30" i="50"/>
  <c r="BP30" i="50"/>
  <c r="BQ30" i="50"/>
  <c r="BR30" i="50"/>
  <c r="BH31" i="50"/>
  <c r="BI31" i="50"/>
  <c r="BJ31" i="50"/>
  <c r="BK31" i="50"/>
  <c r="BL31" i="50"/>
  <c r="BM31" i="50"/>
  <c r="BN31" i="50"/>
  <c r="BO31" i="50"/>
  <c r="BP31" i="50"/>
  <c r="BQ31" i="50"/>
  <c r="BR31" i="50"/>
  <c r="BH32" i="50"/>
  <c r="BI32" i="50"/>
  <c r="BJ32" i="50"/>
  <c r="BK32" i="50"/>
  <c r="BL32" i="50"/>
  <c r="BM32" i="50"/>
  <c r="BN32" i="50"/>
  <c r="BO32" i="50"/>
  <c r="BP32" i="50"/>
  <c r="BQ32" i="50"/>
  <c r="BR32" i="50"/>
  <c r="BH33" i="50"/>
  <c r="BI33" i="50"/>
  <c r="BJ33" i="50"/>
  <c r="BK33" i="50"/>
  <c r="BL33" i="50"/>
  <c r="BM33" i="50"/>
  <c r="BN33" i="50"/>
  <c r="BO33" i="50"/>
  <c r="BP33" i="50"/>
  <c r="BQ33" i="50"/>
  <c r="BR33" i="50"/>
  <c r="BH34" i="50"/>
  <c r="BI34" i="50"/>
  <c r="BJ34" i="50"/>
  <c r="BK34" i="50"/>
  <c r="BL34" i="50"/>
  <c r="BM34" i="50"/>
  <c r="BN34" i="50"/>
  <c r="BO34" i="50"/>
  <c r="BP34" i="50"/>
  <c r="BQ34" i="50"/>
  <c r="BR34" i="50"/>
  <c r="BH35" i="50"/>
  <c r="BI35" i="50"/>
  <c r="BJ35" i="50"/>
  <c r="BK35" i="50"/>
  <c r="BL35" i="50"/>
  <c r="BM35" i="50"/>
  <c r="BN35" i="50"/>
  <c r="BO35" i="50"/>
  <c r="BP35" i="50"/>
  <c r="BQ35" i="50"/>
  <c r="BR35" i="50"/>
  <c r="BH36" i="50"/>
  <c r="BI36" i="50"/>
  <c r="BJ36" i="50"/>
  <c r="BK36" i="50"/>
  <c r="BL36" i="50"/>
  <c r="BM36" i="50"/>
  <c r="BN36" i="50"/>
  <c r="BO36" i="50"/>
  <c r="BP36" i="50"/>
  <c r="BQ36" i="50"/>
  <c r="BR36" i="50"/>
  <c r="BH37" i="50"/>
  <c r="BI37" i="50"/>
  <c r="BJ37" i="50"/>
  <c r="BK37" i="50"/>
  <c r="BL37" i="50"/>
  <c r="BM37" i="50"/>
  <c r="BN37" i="50"/>
  <c r="BO37" i="50"/>
  <c r="BP37" i="50"/>
  <c r="BQ37" i="50"/>
  <c r="BR37" i="50"/>
  <c r="BH38" i="50"/>
  <c r="BI38" i="50"/>
  <c r="BJ38" i="50"/>
  <c r="BK38" i="50"/>
  <c r="BL38" i="50"/>
  <c r="BM38" i="50"/>
  <c r="BN38" i="50"/>
  <c r="BO38" i="50"/>
  <c r="BP38" i="50"/>
  <c r="BQ38" i="50"/>
  <c r="BR38" i="50"/>
  <c r="BH39" i="50"/>
  <c r="BI39" i="50"/>
  <c r="BJ39" i="50"/>
  <c r="BK39" i="50"/>
  <c r="BL39" i="50"/>
  <c r="BM39" i="50"/>
  <c r="BN39" i="50"/>
  <c r="BO39" i="50"/>
  <c r="BP39" i="50"/>
  <c r="BQ39" i="50"/>
  <c r="BR39" i="50"/>
  <c r="BH40" i="50"/>
  <c r="BI40" i="50"/>
  <c r="BJ40" i="50"/>
  <c r="BK40" i="50"/>
  <c r="BL40" i="50"/>
  <c r="BM40" i="50"/>
  <c r="BN40" i="50"/>
  <c r="BO40" i="50"/>
  <c r="BP40" i="50"/>
  <c r="BQ40" i="50"/>
  <c r="BR40" i="50"/>
  <c r="BH41" i="50"/>
  <c r="BI41" i="50"/>
  <c r="BJ41" i="50"/>
  <c r="BK41" i="50"/>
  <c r="BL41" i="50"/>
  <c r="BM41" i="50"/>
  <c r="BN41" i="50"/>
  <c r="BO41" i="50"/>
  <c r="BP41" i="50"/>
  <c r="BQ41" i="50"/>
  <c r="BR41" i="50"/>
  <c r="BH42" i="50"/>
  <c r="BI42" i="50"/>
  <c r="BJ42" i="50"/>
  <c r="BK42" i="50"/>
  <c r="BL42" i="50"/>
  <c r="BM42" i="50"/>
  <c r="BN42" i="50"/>
  <c r="BO42" i="50"/>
  <c r="BP42" i="50"/>
  <c r="BQ42" i="50"/>
  <c r="BR42" i="50"/>
  <c r="BH43" i="50"/>
  <c r="BI43" i="50"/>
  <c r="BJ43" i="50"/>
  <c r="BK43" i="50"/>
  <c r="BL43" i="50"/>
  <c r="BM43" i="50"/>
  <c r="BN43" i="50"/>
  <c r="BO43" i="50"/>
  <c r="BP43" i="50"/>
  <c r="BQ43" i="50"/>
  <c r="BR43" i="50"/>
  <c r="BH44" i="50"/>
  <c r="BI44" i="50"/>
  <c r="BJ44" i="50"/>
  <c r="BK44" i="50"/>
  <c r="BL44" i="50"/>
  <c r="BM44" i="50"/>
  <c r="BN44" i="50"/>
  <c r="BO44" i="50"/>
  <c r="BP44" i="50"/>
  <c r="BQ44" i="50"/>
  <c r="BR44" i="50"/>
  <c r="BH45" i="50"/>
  <c r="BI45" i="50"/>
  <c r="BJ45" i="50"/>
  <c r="BK45" i="50"/>
  <c r="BL45" i="50"/>
  <c r="BM45" i="50"/>
  <c r="BN45" i="50"/>
  <c r="BO45" i="50"/>
  <c r="BP45" i="50"/>
  <c r="BQ45" i="50"/>
  <c r="BR45" i="50"/>
  <c r="BH46" i="50"/>
  <c r="BI46" i="50"/>
  <c r="BJ46" i="50"/>
  <c r="BK46" i="50"/>
  <c r="BL46" i="50"/>
  <c r="BM46" i="50"/>
  <c r="BN46" i="50"/>
  <c r="BO46" i="50"/>
  <c r="BP46" i="50"/>
  <c r="BQ46" i="50"/>
  <c r="BR46" i="50"/>
  <c r="BH47" i="50"/>
  <c r="BI47" i="50"/>
  <c r="BJ47" i="50"/>
  <c r="BK47" i="50"/>
  <c r="BL47" i="50"/>
  <c r="BM47" i="50"/>
  <c r="BN47" i="50"/>
  <c r="BO47" i="50"/>
  <c r="BP47" i="50"/>
  <c r="BQ47" i="50"/>
  <c r="BR47" i="50"/>
  <c r="BH48" i="50"/>
  <c r="BI48" i="50"/>
  <c r="BJ48" i="50"/>
  <c r="BK48" i="50"/>
  <c r="BL48" i="50"/>
  <c r="BM48" i="50"/>
  <c r="BN48" i="50"/>
  <c r="BO48" i="50"/>
  <c r="BP48" i="50"/>
  <c r="BQ48" i="50"/>
  <c r="BR48" i="50"/>
  <c r="BH49" i="50"/>
  <c r="BI49" i="50"/>
  <c r="BJ49" i="50"/>
  <c r="BK49" i="50"/>
  <c r="BL49" i="50"/>
  <c r="BM49" i="50"/>
  <c r="BN49" i="50"/>
  <c r="BO49" i="50"/>
  <c r="BP49" i="50"/>
  <c r="BQ49" i="50"/>
  <c r="BR49" i="50"/>
  <c r="BH50" i="50"/>
  <c r="BI50" i="50"/>
  <c r="BJ50" i="50"/>
  <c r="BK50" i="50"/>
  <c r="BL50" i="50"/>
  <c r="BM50" i="50"/>
  <c r="BN50" i="50"/>
  <c r="BO50" i="50"/>
  <c r="BP50" i="50"/>
  <c r="BQ50" i="50"/>
  <c r="BR50" i="50"/>
  <c r="BH51" i="50"/>
  <c r="BI51" i="50"/>
  <c r="BJ51" i="50"/>
  <c r="BK51" i="50"/>
  <c r="BL51" i="50"/>
  <c r="BM51" i="50"/>
  <c r="BN51" i="50"/>
  <c r="BO51" i="50"/>
  <c r="BP51" i="50"/>
  <c r="BQ51" i="50"/>
  <c r="BR51" i="50"/>
  <c r="BH52" i="50"/>
  <c r="BI52" i="50"/>
  <c r="BJ52" i="50"/>
  <c r="BK52" i="50"/>
  <c r="BL52" i="50"/>
  <c r="BM52" i="50"/>
  <c r="BN52" i="50"/>
  <c r="BO52" i="50"/>
  <c r="BP52" i="50"/>
  <c r="BQ52" i="50"/>
  <c r="BR52" i="50"/>
  <c r="BH53" i="50"/>
  <c r="BI53" i="50"/>
  <c r="BJ53" i="50"/>
  <c r="BK53" i="50"/>
  <c r="BL53" i="50"/>
  <c r="BM53" i="50"/>
  <c r="BN53" i="50"/>
  <c r="BO53" i="50"/>
  <c r="BP53" i="50"/>
  <c r="BQ53" i="50"/>
  <c r="BR53" i="50"/>
  <c r="BH54" i="50"/>
  <c r="BI54" i="50"/>
  <c r="BJ54" i="50"/>
  <c r="BK54" i="50"/>
  <c r="BL54" i="50"/>
  <c r="BM54" i="50"/>
  <c r="BN54" i="50"/>
  <c r="BO54" i="50"/>
  <c r="BP54" i="50"/>
  <c r="BQ54" i="50"/>
  <c r="BR54" i="50"/>
  <c r="H35" i="112" l="1"/>
  <c r="H64" i="112" l="1"/>
  <c r="H65" i="112"/>
  <c r="H66" i="112"/>
  <c r="H67" i="112"/>
  <c r="H68" i="112"/>
  <c r="H69" i="112"/>
  <c r="H70" i="112"/>
  <c r="H71" i="112"/>
  <c r="H72" i="112"/>
  <c r="H73" i="112"/>
  <c r="H74" i="112"/>
  <c r="H75" i="112"/>
  <c r="H76" i="112"/>
  <c r="H77" i="112"/>
  <c r="H78" i="112"/>
  <c r="H79" i="112"/>
  <c r="H80" i="112"/>
  <c r="H81" i="112"/>
  <c r="H82" i="112"/>
  <c r="H83" i="112"/>
  <c r="H84" i="112"/>
  <c r="H85" i="112"/>
  <c r="H36" i="112" l="1"/>
  <c r="L8" i="21" l="1"/>
  <c r="L28" i="21"/>
  <c r="L27" i="21"/>
  <c r="L26" i="21"/>
  <c r="L25" i="21"/>
  <c r="L24" i="21"/>
  <c r="L23" i="21"/>
  <c r="L22" i="21"/>
  <c r="L21" i="21"/>
  <c r="L20" i="21"/>
  <c r="L19" i="21"/>
  <c r="L18" i="21"/>
  <c r="L17" i="21"/>
  <c r="L16" i="21"/>
  <c r="L15" i="21"/>
  <c r="L14" i="21"/>
  <c r="L13" i="21"/>
  <c r="L12" i="21"/>
  <c r="L11" i="21"/>
  <c r="L10" i="21"/>
  <c r="L9" i="21"/>
  <c r="L7" i="21"/>
  <c r="L6" i="21"/>
  <c r="L5" i="21"/>
  <c r="L4" i="21"/>
  <c r="L3" i="21"/>
  <c r="T111" i="121" l="1"/>
  <c r="T112" i="121"/>
  <c r="T116" i="121"/>
  <c r="T119" i="121"/>
  <c r="T120" i="121"/>
  <c r="T121" i="121"/>
  <c r="T122" i="121"/>
  <c r="T110" i="121"/>
  <c r="T113" i="121"/>
  <c r="T114" i="121"/>
  <c r="T115" i="121"/>
  <c r="T117" i="121"/>
  <c r="T118" i="121"/>
  <c r="L14" i="119"/>
  <c r="L15" i="119"/>
  <c r="L16" i="119"/>
  <c r="L17" i="119"/>
  <c r="L18" i="119"/>
  <c r="L19" i="119"/>
  <c r="L20" i="119"/>
  <c r="L21" i="119"/>
  <c r="L22" i="119"/>
  <c r="L23" i="119"/>
  <c r="L24" i="119"/>
  <c r="L25" i="119"/>
  <c r="L26" i="119"/>
  <c r="L27" i="119"/>
  <c r="L28" i="119"/>
  <c r="L29" i="119"/>
  <c r="L30" i="119"/>
  <c r="L31" i="119"/>
  <c r="C53" i="121"/>
  <c r="C52" i="121"/>
  <c r="C51" i="121"/>
  <c r="C50" i="121"/>
  <c r="C49" i="121"/>
  <c r="C48" i="121"/>
  <c r="C47" i="121"/>
  <c r="C46" i="121"/>
  <c r="C45" i="121"/>
  <c r="C44" i="121"/>
  <c r="C43" i="121"/>
  <c r="C42" i="121"/>
  <c r="C41" i="121"/>
  <c r="C40" i="121"/>
  <c r="C39" i="121"/>
  <c r="C38" i="121"/>
  <c r="C37" i="121"/>
  <c r="C36" i="121"/>
  <c r="C35" i="121"/>
  <c r="C34" i="121"/>
  <c r="C33" i="121"/>
  <c r="C32" i="121"/>
  <c r="C31" i="121"/>
  <c r="C30" i="121"/>
  <c r="C29" i="121"/>
  <c r="C28" i="121"/>
  <c r="C71" i="121"/>
  <c r="C70" i="121"/>
  <c r="C69" i="121"/>
  <c r="C68" i="121"/>
  <c r="C67" i="121"/>
  <c r="C66" i="121"/>
  <c r="C65" i="121"/>
  <c r="C64" i="121"/>
  <c r="C63" i="121"/>
  <c r="C62" i="121"/>
  <c r="C61" i="121"/>
  <c r="C60" i="121"/>
  <c r="C59" i="121"/>
  <c r="C58" i="121"/>
  <c r="C57" i="121"/>
  <c r="C56" i="121"/>
  <c r="C55" i="121"/>
  <c r="C54" i="121"/>
  <c r="C62" i="120"/>
  <c r="C61" i="120"/>
  <c r="C60" i="120"/>
  <c r="C59" i="120"/>
  <c r="C58" i="120"/>
  <c r="C57" i="120"/>
  <c r="C56" i="120"/>
  <c r="C55" i="120"/>
  <c r="C54" i="120"/>
  <c r="C53" i="120"/>
  <c r="C52" i="120"/>
  <c r="C51" i="120"/>
  <c r="C50" i="120"/>
  <c r="C49" i="120"/>
  <c r="C48" i="120"/>
  <c r="C47" i="120"/>
  <c r="C46" i="120"/>
  <c r="C45" i="120"/>
  <c r="C44" i="120"/>
  <c r="C43" i="120"/>
  <c r="C42" i="120"/>
  <c r="C41" i="120"/>
  <c r="C40" i="120"/>
  <c r="C39" i="120"/>
  <c r="C38" i="120"/>
  <c r="C37" i="120"/>
  <c r="C80" i="120"/>
  <c r="C79" i="120"/>
  <c r="C78" i="120"/>
  <c r="C77" i="120"/>
  <c r="C76" i="120"/>
  <c r="C75" i="120"/>
  <c r="C74" i="120"/>
  <c r="C73" i="120"/>
  <c r="C72" i="120"/>
  <c r="C71" i="120"/>
  <c r="C70" i="120"/>
  <c r="C69" i="120"/>
  <c r="C68" i="120"/>
  <c r="C67" i="120"/>
  <c r="C66" i="120"/>
  <c r="C65" i="120"/>
  <c r="C64" i="120"/>
  <c r="C63" i="120"/>
  <c r="X5" i="22" a="1"/>
  <c r="X6" i="22" a="1"/>
  <c r="V5" i="22" a="1"/>
  <c r="V6" i="22" a="1"/>
  <c r="T5" i="22" a="1"/>
  <c r="T6" i="22" a="1"/>
  <c r="P5" i="22" a="1"/>
  <c r="P6" i="22" a="1"/>
  <c r="M53" i="121" l="1"/>
  <c r="L53" i="121"/>
  <c r="K53" i="121"/>
  <c r="J53" i="121"/>
  <c r="M52" i="121"/>
  <c r="L52" i="121"/>
  <c r="K52" i="121"/>
  <c r="J52" i="121"/>
  <c r="M51" i="121"/>
  <c r="L51" i="121"/>
  <c r="K51" i="121"/>
  <c r="J51" i="121"/>
  <c r="L50" i="121"/>
  <c r="K50" i="121"/>
  <c r="M50" i="121"/>
  <c r="J50" i="121"/>
  <c r="M49" i="121"/>
  <c r="K49" i="121"/>
  <c r="J49" i="121"/>
  <c r="L49" i="121"/>
  <c r="M48" i="121"/>
  <c r="L48" i="121"/>
  <c r="K48" i="121"/>
  <c r="J48" i="121"/>
  <c r="M47" i="121"/>
  <c r="L47" i="121"/>
  <c r="K47" i="121"/>
  <c r="J47" i="121"/>
  <c r="M46" i="121"/>
  <c r="L46" i="121"/>
  <c r="K46" i="121"/>
  <c r="J46" i="121"/>
  <c r="M45" i="121"/>
  <c r="L45" i="121"/>
  <c r="K45" i="121"/>
  <c r="J45" i="121"/>
  <c r="M44" i="121"/>
  <c r="L44" i="121"/>
  <c r="K44" i="121"/>
  <c r="J44" i="121"/>
  <c r="M43" i="121"/>
  <c r="L43" i="121"/>
  <c r="K43" i="121"/>
  <c r="J43" i="121"/>
  <c r="M42" i="121"/>
  <c r="L42" i="121"/>
  <c r="K42" i="121"/>
  <c r="J42" i="121"/>
  <c r="K41" i="121"/>
  <c r="M41" i="121"/>
  <c r="L41" i="121"/>
  <c r="J41" i="121"/>
  <c r="M40" i="121"/>
  <c r="L40" i="121"/>
  <c r="K40" i="121"/>
  <c r="J40" i="121"/>
  <c r="M39" i="121"/>
  <c r="L39" i="121"/>
  <c r="K39" i="121"/>
  <c r="J39" i="121"/>
  <c r="M38" i="121"/>
  <c r="L38" i="121"/>
  <c r="K38" i="121"/>
  <c r="J38" i="121"/>
  <c r="M37" i="121"/>
  <c r="L37" i="121"/>
  <c r="K37" i="121"/>
  <c r="J37" i="121"/>
  <c r="J36" i="121"/>
  <c r="M36" i="121"/>
  <c r="L36" i="121"/>
  <c r="K36" i="121"/>
  <c r="L35" i="121"/>
  <c r="K35" i="121"/>
  <c r="M35" i="121"/>
  <c r="J35" i="121"/>
  <c r="J34" i="121"/>
  <c r="M34" i="121"/>
  <c r="K34" i="121"/>
  <c r="L34" i="121"/>
  <c r="M33" i="121"/>
  <c r="L33" i="121"/>
  <c r="K33" i="121"/>
  <c r="J33" i="121"/>
  <c r="M32" i="121"/>
  <c r="L32" i="121"/>
  <c r="K32" i="121"/>
  <c r="J32" i="121"/>
  <c r="M31" i="121"/>
  <c r="K31" i="121"/>
  <c r="J31" i="121"/>
  <c r="L31" i="121"/>
  <c r="M30" i="121"/>
  <c r="L30" i="121"/>
  <c r="K30" i="121"/>
  <c r="J30" i="121"/>
  <c r="M29" i="121"/>
  <c r="L29" i="121"/>
  <c r="K29" i="121"/>
  <c r="J29" i="121"/>
  <c r="J28" i="121"/>
  <c r="L28" i="121"/>
  <c r="K28" i="121"/>
  <c r="M28" i="121"/>
  <c r="M71" i="121"/>
  <c r="K71" i="121"/>
  <c r="J71" i="121"/>
  <c r="L71" i="121"/>
  <c r="M70" i="121"/>
  <c r="L70" i="121"/>
  <c r="K70" i="121"/>
  <c r="J70" i="121"/>
  <c r="J69" i="121"/>
  <c r="M69" i="121"/>
  <c r="L69" i="121"/>
  <c r="K69" i="121"/>
  <c r="J68" i="121"/>
  <c r="M68" i="121"/>
  <c r="L68" i="121"/>
  <c r="K68" i="121"/>
  <c r="M67" i="121"/>
  <c r="L67" i="121"/>
  <c r="K67" i="121"/>
  <c r="J67" i="121"/>
  <c r="M66" i="121"/>
  <c r="L66" i="121"/>
  <c r="K66" i="121"/>
  <c r="J66" i="121"/>
  <c r="M65" i="121"/>
  <c r="L65" i="121"/>
  <c r="K65" i="121"/>
  <c r="J65" i="121"/>
  <c r="J64" i="121"/>
  <c r="M64" i="121"/>
  <c r="L64" i="121"/>
  <c r="K64" i="121"/>
  <c r="K63" i="121"/>
  <c r="M63" i="121"/>
  <c r="L63" i="121"/>
  <c r="J63" i="121"/>
  <c r="M62" i="121"/>
  <c r="K62" i="121"/>
  <c r="J62" i="121"/>
  <c r="L62" i="121"/>
  <c r="M61" i="121"/>
  <c r="L61" i="121"/>
  <c r="K61" i="121"/>
  <c r="J61" i="121"/>
  <c r="J60" i="121"/>
  <c r="M60" i="121"/>
  <c r="L60" i="121"/>
  <c r="K60" i="121"/>
  <c r="L59" i="121"/>
  <c r="M59" i="121"/>
  <c r="K59" i="121"/>
  <c r="J59" i="121"/>
  <c r="M58" i="121"/>
  <c r="L58" i="121"/>
  <c r="K58" i="121"/>
  <c r="J58" i="121"/>
  <c r="M57" i="121"/>
  <c r="L57" i="121"/>
  <c r="K57" i="121"/>
  <c r="J57" i="121"/>
  <c r="J56" i="121"/>
  <c r="M56" i="121"/>
  <c r="L56" i="121"/>
  <c r="K56" i="121"/>
  <c r="J55" i="121"/>
  <c r="M55" i="121"/>
  <c r="L55" i="121"/>
  <c r="K55" i="121"/>
  <c r="K54" i="121"/>
  <c r="J54" i="121"/>
  <c r="M54" i="121"/>
  <c r="L54" i="121"/>
  <c r="AC5" i="120"/>
  <c r="AC4" i="120"/>
  <c r="V4" i="120"/>
  <c r="V5" i="120"/>
  <c r="O55" i="21"/>
  <c r="O56" i="21"/>
  <c r="O57" i="21"/>
  <c r="O58" i="21"/>
  <c r="O59" i="21"/>
  <c r="O60" i="21"/>
  <c r="O61" i="21"/>
  <c r="O62" i="21"/>
  <c r="O63" i="21"/>
  <c r="O64" i="21"/>
  <c r="O65" i="21"/>
  <c r="O66" i="21"/>
  <c r="O67" i="21"/>
  <c r="O68" i="21"/>
  <c r="O69" i="21"/>
  <c r="O70" i="21"/>
  <c r="O71" i="21"/>
  <c r="O72" i="21"/>
  <c r="O29" i="21"/>
  <c r="O30" i="21"/>
  <c r="O31" i="21"/>
  <c r="O32" i="21"/>
  <c r="O33" i="21"/>
  <c r="O34" i="21"/>
  <c r="O35" i="21"/>
  <c r="O36" i="21"/>
  <c r="O37" i="21"/>
  <c r="O38" i="21"/>
  <c r="O39" i="21"/>
  <c r="O40" i="21"/>
  <c r="O41" i="21"/>
  <c r="O42" i="21"/>
  <c r="O43" i="21"/>
  <c r="O44" i="21"/>
  <c r="O45" i="21"/>
  <c r="O46" i="21"/>
  <c r="O47" i="21"/>
  <c r="O48" i="21"/>
  <c r="O49" i="21"/>
  <c r="O50" i="21"/>
  <c r="O51" i="21"/>
  <c r="O52" i="21"/>
  <c r="O53" i="21"/>
  <c r="O54" i="21"/>
  <c r="L55" i="21"/>
  <c r="L56" i="21"/>
  <c r="L57" i="21"/>
  <c r="L58" i="21"/>
  <c r="L59" i="21"/>
  <c r="L60" i="21"/>
  <c r="L61" i="21"/>
  <c r="L62" i="21"/>
  <c r="L63" i="21"/>
  <c r="L64" i="21"/>
  <c r="L65" i="21"/>
  <c r="L66" i="21"/>
  <c r="L67" i="21"/>
  <c r="L68" i="21"/>
  <c r="L69" i="21"/>
  <c r="L70" i="21"/>
  <c r="L71" i="21"/>
  <c r="L72" i="21"/>
  <c r="L29" i="21"/>
  <c r="L30" i="21"/>
  <c r="L31" i="21"/>
  <c r="L32" i="21"/>
  <c r="L33" i="21"/>
  <c r="L34" i="21"/>
  <c r="L35" i="21"/>
  <c r="L36" i="21"/>
  <c r="L37" i="21"/>
  <c r="L38" i="21"/>
  <c r="L39" i="21"/>
  <c r="L40" i="21"/>
  <c r="L41" i="21"/>
  <c r="L42" i="21"/>
  <c r="L43" i="21"/>
  <c r="L44" i="21"/>
  <c r="L45" i="21"/>
  <c r="L46" i="21"/>
  <c r="L47" i="21"/>
  <c r="L48" i="21"/>
  <c r="L49" i="21"/>
  <c r="L50" i="21"/>
  <c r="L51" i="21"/>
  <c r="L52" i="21"/>
  <c r="L53" i="21"/>
  <c r="L54" i="21"/>
  <c r="I55" i="21"/>
  <c r="I56" i="21"/>
  <c r="I57" i="21"/>
  <c r="I58" i="21"/>
  <c r="I59" i="21"/>
  <c r="I60" i="21"/>
  <c r="I61" i="21"/>
  <c r="I62" i="21"/>
  <c r="I63" i="21"/>
  <c r="I64" i="21"/>
  <c r="I65" i="21"/>
  <c r="I66" i="21"/>
  <c r="I67" i="21"/>
  <c r="I68" i="21"/>
  <c r="I69" i="21"/>
  <c r="I70" i="21"/>
  <c r="I71" i="21"/>
  <c r="I72" i="21"/>
  <c r="I29" i="21"/>
  <c r="I30" i="21"/>
  <c r="I31" i="21"/>
  <c r="I32" i="21"/>
  <c r="I33" i="21"/>
  <c r="I34" i="21"/>
  <c r="I35" i="21"/>
  <c r="I36" i="21"/>
  <c r="I37" i="21"/>
  <c r="I38" i="21"/>
  <c r="I39" i="21"/>
  <c r="I40" i="21"/>
  <c r="I41" i="21"/>
  <c r="I42" i="21"/>
  <c r="I43" i="21"/>
  <c r="I44" i="21"/>
  <c r="I45" i="21"/>
  <c r="I46" i="21"/>
  <c r="I47" i="21"/>
  <c r="I48" i="21"/>
  <c r="I49" i="21"/>
  <c r="I50" i="21"/>
  <c r="I51" i="21"/>
  <c r="I52" i="21"/>
  <c r="I53" i="21"/>
  <c r="I54" i="21"/>
  <c r="AV25" i="120" l="1"/>
  <c r="AV20" i="120" l="1"/>
  <c r="AV21" i="120"/>
  <c r="AV22" i="120"/>
  <c r="AV19" i="120"/>
  <c r="L9" i="119" l="1"/>
  <c r="T109" i="121"/>
  <c r="T108" i="121"/>
  <c r="T107" i="121"/>
  <c r="T106" i="121"/>
  <c r="T105" i="121"/>
  <c r="T104" i="121"/>
  <c r="T103" i="121"/>
  <c r="T102" i="121"/>
  <c r="T101" i="121"/>
  <c r="T100" i="121"/>
  <c r="T99" i="121"/>
  <c r="T98" i="121"/>
  <c r="T97" i="121"/>
  <c r="T96" i="121"/>
  <c r="T95" i="121"/>
  <c r="AL51" i="121"/>
  <c r="AK51" i="121"/>
  <c r="T94" i="121"/>
  <c r="AL50" i="121"/>
  <c r="AK50" i="121"/>
  <c r="AL49" i="121"/>
  <c r="AK49" i="121"/>
  <c r="AL48" i="121"/>
  <c r="AK48" i="121"/>
  <c r="AL47" i="121"/>
  <c r="AK47" i="121"/>
  <c r="AL46" i="121"/>
  <c r="AK46" i="121"/>
  <c r="AL45" i="121"/>
  <c r="AK45" i="121"/>
  <c r="AL44" i="121"/>
  <c r="AK44" i="121"/>
  <c r="AL43" i="121"/>
  <c r="AK43" i="121"/>
  <c r="AL42" i="121"/>
  <c r="AK42" i="121"/>
  <c r="AL41" i="121"/>
  <c r="AK41" i="121"/>
  <c r="C27" i="121"/>
  <c r="AL40" i="121"/>
  <c r="AK40" i="121"/>
  <c r="C26" i="121"/>
  <c r="AL39" i="121"/>
  <c r="AK39" i="121"/>
  <c r="C25" i="121"/>
  <c r="AL38" i="121"/>
  <c r="AK38" i="121"/>
  <c r="C24" i="121"/>
  <c r="AL37" i="121"/>
  <c r="AK37" i="121"/>
  <c r="X37" i="121"/>
  <c r="X81" i="121" s="1"/>
  <c r="C23" i="121"/>
  <c r="AL36" i="121"/>
  <c r="AK36" i="121"/>
  <c r="X36" i="121"/>
  <c r="X80" i="121" s="1"/>
  <c r="C22" i="121"/>
  <c r="AL35" i="121"/>
  <c r="AK35" i="121"/>
  <c r="X35" i="121"/>
  <c r="X79" i="121" s="1"/>
  <c r="C21" i="121"/>
  <c r="AL34" i="121"/>
  <c r="AK34" i="121"/>
  <c r="X34" i="121"/>
  <c r="X78" i="121" s="1"/>
  <c r="C20" i="121"/>
  <c r="AL33" i="121"/>
  <c r="AK33" i="121"/>
  <c r="X33" i="121"/>
  <c r="X77" i="121" s="1"/>
  <c r="C19" i="121"/>
  <c r="AL32" i="121"/>
  <c r="AK32" i="121"/>
  <c r="X32" i="121"/>
  <c r="X76" i="121" s="1"/>
  <c r="C18" i="121"/>
  <c r="AL31" i="121"/>
  <c r="AK31" i="121"/>
  <c r="X31" i="121"/>
  <c r="X75" i="121" s="1"/>
  <c r="C17" i="121"/>
  <c r="AL30" i="121"/>
  <c r="AK30" i="121"/>
  <c r="X30" i="121"/>
  <c r="X74" i="121" s="1"/>
  <c r="C16" i="121"/>
  <c r="AL29" i="121"/>
  <c r="AK29" i="121"/>
  <c r="X29" i="121"/>
  <c r="X73" i="121" s="1"/>
  <c r="C15" i="121"/>
  <c r="AL28" i="121"/>
  <c r="AK28" i="121"/>
  <c r="X28" i="121"/>
  <c r="X72" i="121" s="1"/>
  <c r="C14" i="121"/>
  <c r="AL27" i="121"/>
  <c r="AK27" i="121"/>
  <c r="X27" i="121"/>
  <c r="X71" i="121" s="1"/>
  <c r="C13" i="121"/>
  <c r="AL26" i="121"/>
  <c r="AK26" i="121"/>
  <c r="X26" i="121"/>
  <c r="X70" i="121" s="1"/>
  <c r="C12" i="121"/>
  <c r="AL25" i="121"/>
  <c r="AK25" i="121"/>
  <c r="X25" i="121"/>
  <c r="X69" i="121" s="1"/>
  <c r="C11" i="121"/>
  <c r="AL24" i="121"/>
  <c r="AK24" i="121"/>
  <c r="X24" i="121"/>
  <c r="X68" i="121" s="1"/>
  <c r="C10" i="121"/>
  <c r="AL23" i="121"/>
  <c r="AK23" i="121"/>
  <c r="X23" i="121"/>
  <c r="X67" i="121" s="1"/>
  <c r="C9" i="121"/>
  <c r="AL22" i="121"/>
  <c r="AK22" i="121"/>
  <c r="X22" i="121"/>
  <c r="X66" i="121" s="1"/>
  <c r="C8" i="121"/>
  <c r="AL21" i="121"/>
  <c r="AK21" i="121"/>
  <c r="X21" i="121"/>
  <c r="X65" i="121" s="1"/>
  <c r="C7" i="121"/>
  <c r="AL20" i="121"/>
  <c r="AK20" i="121"/>
  <c r="X20" i="121"/>
  <c r="X64" i="121" s="1"/>
  <c r="C6" i="121"/>
  <c r="AL19" i="121"/>
  <c r="AK19" i="121"/>
  <c r="X19" i="121"/>
  <c r="X63" i="121" s="1"/>
  <c r="C5" i="121"/>
  <c r="AL18" i="121"/>
  <c r="AK18" i="121"/>
  <c r="X18" i="121"/>
  <c r="X62" i="121" s="1"/>
  <c r="C4" i="121"/>
  <c r="AL17" i="121"/>
  <c r="AK17" i="121"/>
  <c r="X17" i="121"/>
  <c r="X61" i="121" s="1"/>
  <c r="C3" i="121"/>
  <c r="AL16" i="121"/>
  <c r="AK16" i="121"/>
  <c r="X16" i="121"/>
  <c r="X60" i="121" s="1"/>
  <c r="C2" i="121"/>
  <c r="AL15" i="121"/>
  <c r="AK15" i="121"/>
  <c r="X15" i="121"/>
  <c r="X59" i="121" s="1"/>
  <c r="AL14" i="121"/>
  <c r="AK14" i="121"/>
  <c r="X14" i="121"/>
  <c r="X58" i="121" s="1"/>
  <c r="AL13" i="121"/>
  <c r="AK13" i="121"/>
  <c r="X13" i="121"/>
  <c r="X57" i="121" s="1"/>
  <c r="AL12" i="121"/>
  <c r="AK12" i="121"/>
  <c r="X12" i="121"/>
  <c r="X56" i="121" s="1"/>
  <c r="AL11" i="121"/>
  <c r="AK11" i="121"/>
  <c r="X11" i="121"/>
  <c r="X55" i="121" s="1"/>
  <c r="AL10" i="121"/>
  <c r="AK10" i="121"/>
  <c r="X10" i="121"/>
  <c r="X54" i="121" s="1"/>
  <c r="AL9" i="121"/>
  <c r="AK9" i="121"/>
  <c r="X9" i="121"/>
  <c r="AL8" i="121"/>
  <c r="AK8" i="121"/>
  <c r="X8" i="121"/>
  <c r="AL7" i="121"/>
  <c r="AK7" i="121"/>
  <c r="X7" i="121"/>
  <c r="AL6" i="121"/>
  <c r="AK6" i="121"/>
  <c r="X6" i="121"/>
  <c r="AL5" i="121"/>
  <c r="AK5" i="121"/>
  <c r="X5" i="121"/>
  <c r="AL4" i="121"/>
  <c r="AK4" i="121"/>
  <c r="X4" i="121"/>
  <c r="AL3" i="121"/>
  <c r="AK3" i="121"/>
  <c r="X3" i="121"/>
  <c r="AL2" i="121"/>
  <c r="AK2" i="121"/>
  <c r="X2" i="121"/>
  <c r="AV36" i="120"/>
  <c r="AT36" i="120"/>
  <c r="C36" i="120"/>
  <c r="AV35" i="120"/>
  <c r="AT35" i="120"/>
  <c r="C35" i="120"/>
  <c r="AV34" i="120"/>
  <c r="AT34" i="120"/>
  <c r="C34" i="120"/>
  <c r="AV33" i="120"/>
  <c r="AT33" i="120"/>
  <c r="C33" i="120"/>
  <c r="AV32" i="120"/>
  <c r="AT32" i="120"/>
  <c r="C32" i="120"/>
  <c r="AV31" i="120"/>
  <c r="AT31" i="120"/>
  <c r="C31" i="120"/>
  <c r="AV30" i="120"/>
  <c r="AT30" i="120"/>
  <c r="C30" i="120"/>
  <c r="AV29" i="120"/>
  <c r="AT29" i="120"/>
  <c r="C29" i="120"/>
  <c r="AV28" i="120"/>
  <c r="C28" i="120"/>
  <c r="C27" i="120"/>
  <c r="C26" i="120"/>
  <c r="C25" i="120"/>
  <c r="C24" i="120"/>
  <c r="C23" i="120"/>
  <c r="C22" i="120"/>
  <c r="C21" i="120"/>
  <c r="C20" i="120"/>
  <c r="C19" i="120"/>
  <c r="AV18" i="120"/>
  <c r="C18" i="120"/>
  <c r="AV17" i="120"/>
  <c r="C17" i="120"/>
  <c r="C15" i="120"/>
  <c r="AV14" i="120"/>
  <c r="C14" i="120"/>
  <c r="AV13" i="120"/>
  <c r="C13" i="120"/>
  <c r="AV12" i="120"/>
  <c r="C12" i="120"/>
  <c r="AV11" i="120"/>
  <c r="C11" i="120"/>
  <c r="B70" i="119"/>
  <c r="I58" i="119"/>
  <c r="I61" i="119" s="1"/>
  <c r="L13" i="119"/>
  <c r="L12" i="119"/>
  <c r="L11" i="119"/>
  <c r="L10" i="119"/>
  <c r="L8" i="119"/>
  <c r="L7" i="119"/>
  <c r="L6" i="119"/>
  <c r="L5" i="119"/>
  <c r="L4" i="119"/>
  <c r="M27" i="121" l="1"/>
  <c r="L27" i="121"/>
  <c r="K27" i="121"/>
  <c r="J27" i="121"/>
  <c r="M26" i="121"/>
  <c r="L26" i="121"/>
  <c r="K26" i="121"/>
  <c r="J26" i="121"/>
  <c r="M25" i="121"/>
  <c r="L25" i="121"/>
  <c r="K25" i="121"/>
  <c r="J25" i="121"/>
  <c r="M24" i="121"/>
  <c r="L24" i="121"/>
  <c r="K24" i="121"/>
  <c r="J24" i="121"/>
  <c r="M23" i="121"/>
  <c r="L23" i="121"/>
  <c r="K23" i="121"/>
  <c r="J23" i="121"/>
  <c r="W12" i="121" s="1"/>
  <c r="W56" i="121" s="1"/>
  <c r="M22" i="121"/>
  <c r="L22" i="121"/>
  <c r="K22" i="121"/>
  <c r="J22" i="121"/>
  <c r="M21" i="121"/>
  <c r="L21" i="121"/>
  <c r="K21" i="121"/>
  <c r="J21" i="121"/>
  <c r="M20" i="121"/>
  <c r="L20" i="121"/>
  <c r="K20" i="121"/>
  <c r="J20" i="121"/>
  <c r="W11" i="121" s="1"/>
  <c r="W55" i="121" s="1"/>
  <c r="M19" i="121"/>
  <c r="L19" i="121"/>
  <c r="K19" i="121"/>
  <c r="J19" i="121"/>
  <c r="M18" i="121"/>
  <c r="L18" i="121"/>
  <c r="K18" i="121"/>
  <c r="J18" i="121"/>
  <c r="W7" i="121" s="1"/>
  <c r="M17" i="121"/>
  <c r="L17" i="121"/>
  <c r="K17" i="121"/>
  <c r="J17" i="121"/>
  <c r="M16" i="121"/>
  <c r="L16" i="121"/>
  <c r="K16" i="121"/>
  <c r="J16" i="121"/>
  <c r="M15" i="121"/>
  <c r="L15" i="121"/>
  <c r="K15" i="121"/>
  <c r="J15" i="121"/>
  <c r="M14" i="121"/>
  <c r="L14" i="121"/>
  <c r="K14" i="121"/>
  <c r="J14" i="121"/>
  <c r="M13" i="121"/>
  <c r="L13" i="121"/>
  <c r="K13" i="121"/>
  <c r="J13" i="121"/>
  <c r="M12" i="121"/>
  <c r="L12" i="121"/>
  <c r="K12" i="121"/>
  <c r="J12" i="121"/>
  <c r="M11" i="121"/>
  <c r="L11" i="121"/>
  <c r="K11" i="121"/>
  <c r="J11" i="121"/>
  <c r="M10" i="121"/>
  <c r="L10" i="121"/>
  <c r="K10" i="121"/>
  <c r="J10" i="121"/>
  <c r="M9" i="121"/>
  <c r="L9" i="121"/>
  <c r="K9" i="121"/>
  <c r="J9" i="121"/>
  <c r="M8" i="121"/>
  <c r="L8" i="121"/>
  <c r="K8" i="121"/>
  <c r="J8" i="121"/>
  <c r="M7" i="121"/>
  <c r="L7" i="121"/>
  <c r="K7" i="121"/>
  <c r="J7" i="121"/>
  <c r="M6" i="121"/>
  <c r="L6" i="121"/>
  <c r="K6" i="121"/>
  <c r="J6" i="121"/>
  <c r="M5" i="121"/>
  <c r="L5" i="121"/>
  <c r="K5" i="121"/>
  <c r="J5" i="121"/>
  <c r="M4" i="121"/>
  <c r="L4" i="121"/>
  <c r="K4" i="121"/>
  <c r="J4" i="121"/>
  <c r="M3" i="121"/>
  <c r="L3" i="121"/>
  <c r="K3" i="121"/>
  <c r="J3" i="121"/>
  <c r="M2" i="121"/>
  <c r="L2" i="121"/>
  <c r="K2" i="121"/>
  <c r="J2" i="121"/>
  <c r="W25" i="121"/>
  <c r="W69" i="121" s="1"/>
  <c r="Z3" i="120"/>
  <c r="Z8" i="120" s="1"/>
  <c r="S3" i="120"/>
  <c r="S8" i="120" s="1"/>
  <c r="AB3" i="120"/>
  <c r="AB8" i="120" s="1"/>
  <c r="U3" i="120"/>
  <c r="U8" i="120" s="1"/>
  <c r="AA3" i="120"/>
  <c r="AA8" i="120" s="1"/>
  <c r="T3" i="120"/>
  <c r="T8" i="120" s="1"/>
  <c r="C34" i="119"/>
  <c r="U42" i="121"/>
  <c r="U39" i="121"/>
  <c r="W42" i="121"/>
  <c r="W40" i="121"/>
  <c r="AA83" i="121"/>
  <c r="W39" i="121"/>
  <c r="AA84" i="121"/>
  <c r="U40" i="121"/>
  <c r="AA87" i="121"/>
  <c r="AA85" i="121"/>
  <c r="AA86" i="121"/>
  <c r="U41" i="121"/>
  <c r="U38" i="121"/>
  <c r="W41" i="121"/>
  <c r="W38" i="121"/>
  <c r="AB84" i="121"/>
  <c r="AB85" i="121"/>
  <c r="AB86" i="121"/>
  <c r="AB87" i="121"/>
  <c r="AB83" i="121"/>
  <c r="V39" i="121"/>
  <c r="V42" i="121"/>
  <c r="V41" i="121"/>
  <c r="V38" i="121"/>
  <c r="V40" i="121"/>
  <c r="W34" i="121"/>
  <c r="W78" i="121" s="1"/>
  <c r="U34" i="121"/>
  <c r="U78" i="121" s="1"/>
  <c r="W35" i="121"/>
  <c r="W79" i="121" s="1"/>
  <c r="U35" i="121"/>
  <c r="U79" i="121" s="1"/>
  <c r="W36" i="121"/>
  <c r="W80" i="121" s="1"/>
  <c r="U36" i="121"/>
  <c r="U80" i="121" s="1"/>
  <c r="X104" i="121"/>
  <c r="X122" i="121"/>
  <c r="X99" i="121"/>
  <c r="X117" i="121"/>
  <c r="X120" i="121"/>
  <c r="X103" i="121"/>
  <c r="X102" i="121"/>
  <c r="X100" i="121"/>
  <c r="X116" i="121"/>
  <c r="X119" i="121"/>
  <c r="X118" i="121"/>
  <c r="X121" i="121"/>
  <c r="X101" i="121"/>
  <c r="X106" i="121"/>
  <c r="X105" i="121"/>
  <c r="X109" i="121"/>
  <c r="X98" i="121"/>
  <c r="X114" i="121"/>
  <c r="X107" i="121"/>
  <c r="X96" i="121"/>
  <c r="X112" i="121"/>
  <c r="X94" i="121"/>
  <c r="X110" i="121"/>
  <c r="X115" i="121"/>
  <c r="X108" i="121"/>
  <c r="X97" i="121"/>
  <c r="X113" i="121"/>
  <c r="X95" i="121"/>
  <c r="X111" i="121"/>
  <c r="AB57" i="121"/>
  <c r="AB67" i="121"/>
  <c r="AB77" i="121"/>
  <c r="AB81" i="121"/>
  <c r="AB76" i="121"/>
  <c r="AB58" i="121"/>
  <c r="AB68" i="121"/>
  <c r="AB78" i="121"/>
  <c r="AB80" i="121"/>
  <c r="AB59" i="121"/>
  <c r="AB69" i="121"/>
  <c r="AB79" i="121"/>
  <c r="AB70" i="121"/>
  <c r="AB60" i="121"/>
  <c r="AB61" i="121"/>
  <c r="AB71" i="121"/>
  <c r="AB62" i="121"/>
  <c r="AB72" i="121"/>
  <c r="AB82" i="121"/>
  <c r="AB73" i="121"/>
  <c r="AB75" i="121"/>
  <c r="AB63" i="121"/>
  <c r="AB64" i="121"/>
  <c r="AB74" i="121"/>
  <c r="AB65" i="121"/>
  <c r="AB66" i="121"/>
  <c r="AA74" i="121"/>
  <c r="AA57" i="121"/>
  <c r="AA62" i="121"/>
  <c r="AA67" i="121"/>
  <c r="AA72" i="121"/>
  <c r="AA77" i="121"/>
  <c r="AA82" i="121"/>
  <c r="AA78" i="121"/>
  <c r="AA69" i="121"/>
  <c r="AA73" i="121"/>
  <c r="AA79" i="121"/>
  <c r="AA58" i="121"/>
  <c r="AA63" i="121"/>
  <c r="AA68" i="121"/>
  <c r="AA59" i="121"/>
  <c r="AA80" i="121"/>
  <c r="AA60" i="121"/>
  <c r="AA65" i="121"/>
  <c r="AA70" i="121"/>
  <c r="AA75" i="121"/>
  <c r="AA61" i="121"/>
  <c r="AA66" i="121"/>
  <c r="AA71" i="121"/>
  <c r="AA76" i="121"/>
  <c r="AA81" i="121"/>
  <c r="AA64" i="121"/>
  <c r="X43" i="121"/>
  <c r="V6" i="121"/>
  <c r="V3" i="121"/>
  <c r="V5" i="121"/>
  <c r="V17" i="121"/>
  <c r="V61" i="121" s="1"/>
  <c r="AA54" i="121"/>
  <c r="AB54" i="121"/>
  <c r="AA56" i="121"/>
  <c r="V21" i="121"/>
  <c r="V65" i="121" s="1"/>
  <c r="AB56" i="121"/>
  <c r="W15" i="121"/>
  <c r="W59" i="121" s="1"/>
  <c r="U13" i="121"/>
  <c r="U57" i="121" s="1"/>
  <c r="U37" i="121"/>
  <c r="U81" i="121" s="1"/>
  <c r="U14" i="121"/>
  <c r="U58" i="121" s="1"/>
  <c r="V37" i="121"/>
  <c r="V81" i="121" s="1"/>
  <c r="AA55" i="121"/>
  <c r="V2" i="121"/>
  <c r="W13" i="121"/>
  <c r="W57" i="121" s="1"/>
  <c r="W37" i="121"/>
  <c r="W81" i="121" s="1"/>
  <c r="AB55" i="121"/>
  <c r="W14" i="121"/>
  <c r="W58" i="121" s="1"/>
  <c r="V4" i="121"/>
  <c r="H34" i="112"/>
  <c r="U27" i="121" l="1"/>
  <c r="U71" i="121" s="1"/>
  <c r="U111" i="121" s="1"/>
  <c r="W27" i="121"/>
  <c r="W71" i="121" s="1"/>
  <c r="W111" i="121" s="1"/>
  <c r="W31" i="121"/>
  <c r="W75" i="121" s="1"/>
  <c r="W115" i="121" s="1"/>
  <c r="U25" i="121"/>
  <c r="U69" i="121" s="1"/>
  <c r="V34" i="121"/>
  <c r="V78" i="121" s="1"/>
  <c r="V118" i="121" s="1"/>
  <c r="W33" i="121"/>
  <c r="W77" i="121" s="1"/>
  <c r="W117" i="121" s="1"/>
  <c r="V28" i="121"/>
  <c r="V72" i="121" s="1"/>
  <c r="V29" i="121"/>
  <c r="V73" i="121" s="1"/>
  <c r="V113" i="121" s="1"/>
  <c r="U28" i="121"/>
  <c r="U72" i="121" s="1"/>
  <c r="U112" i="121" s="1"/>
  <c r="V36" i="121"/>
  <c r="V80" i="121" s="1"/>
  <c r="V120" i="121" s="1"/>
  <c r="W28" i="121"/>
  <c r="W72" i="121" s="1"/>
  <c r="W112" i="121" s="1"/>
  <c r="V33" i="121"/>
  <c r="V77" i="121" s="1"/>
  <c r="V117" i="121" s="1"/>
  <c r="W32" i="121"/>
  <c r="W76" i="121" s="1"/>
  <c r="W116" i="121" s="1"/>
  <c r="W30" i="121"/>
  <c r="W74" i="121" s="1"/>
  <c r="W114" i="121" s="1"/>
  <c r="U31" i="121"/>
  <c r="U75" i="121" s="1"/>
  <c r="U115" i="121" s="1"/>
  <c r="U33" i="121"/>
  <c r="U77" i="121" s="1"/>
  <c r="U117" i="121" s="1"/>
  <c r="V30" i="121"/>
  <c r="V74" i="121" s="1"/>
  <c r="V114" i="121" s="1"/>
  <c r="W26" i="121"/>
  <c r="W70" i="121" s="1"/>
  <c r="V26" i="121"/>
  <c r="V70" i="121" s="1"/>
  <c r="U32" i="121"/>
  <c r="U76" i="121" s="1"/>
  <c r="U116" i="121" s="1"/>
  <c r="U30" i="121"/>
  <c r="U74" i="121" s="1"/>
  <c r="U114" i="121" s="1"/>
  <c r="V35" i="121"/>
  <c r="V79" i="121" s="1"/>
  <c r="V119" i="121" s="1"/>
  <c r="U26" i="121"/>
  <c r="U70" i="121" s="1"/>
  <c r="W29" i="121"/>
  <c r="W73" i="121" s="1"/>
  <c r="W113" i="121" s="1"/>
  <c r="V31" i="121"/>
  <c r="V75" i="121" s="1"/>
  <c r="V115" i="121" s="1"/>
  <c r="V27" i="121"/>
  <c r="V71" i="121" s="1"/>
  <c r="U29" i="121"/>
  <c r="U73" i="121" s="1"/>
  <c r="U113" i="121" s="1"/>
  <c r="V32" i="121"/>
  <c r="V76" i="121" s="1"/>
  <c r="V116" i="121" s="1"/>
  <c r="V15" i="121"/>
  <c r="V59" i="121" s="1"/>
  <c r="W5" i="121"/>
  <c r="V11" i="121"/>
  <c r="V55" i="121" s="1"/>
  <c r="W10" i="121"/>
  <c r="U11" i="121"/>
  <c r="U55" i="121" s="1"/>
  <c r="U95" i="121" s="1"/>
  <c r="W8" i="121"/>
  <c r="U8" i="121"/>
  <c r="V12" i="121"/>
  <c r="V56" i="121" s="1"/>
  <c r="W3" i="121"/>
  <c r="V16" i="121"/>
  <c r="V60" i="121" s="1"/>
  <c r="V100" i="121" s="1"/>
  <c r="V10" i="121"/>
  <c r="V8" i="121"/>
  <c r="U10" i="121"/>
  <c r="U12" i="121"/>
  <c r="U56" i="121" s="1"/>
  <c r="U96" i="121" s="1"/>
  <c r="W2" i="121"/>
  <c r="V8" i="120"/>
  <c r="V84" i="121"/>
  <c r="V124" i="121" s="1"/>
  <c r="V82" i="121"/>
  <c r="V122" i="121" s="1"/>
  <c r="V85" i="121"/>
  <c r="V125" i="121" s="1"/>
  <c r="V87" i="121"/>
  <c r="V127" i="121" s="1"/>
  <c r="V86" i="121"/>
  <c r="V126" i="121" s="1"/>
  <c r="V83" i="121"/>
  <c r="V123" i="121" s="1"/>
  <c r="W83" i="121"/>
  <c r="W123" i="121" s="1"/>
  <c r="W82" i="121"/>
  <c r="W122" i="121" s="1"/>
  <c r="W85" i="121"/>
  <c r="W125" i="121" s="1"/>
  <c r="W84" i="121"/>
  <c r="W124" i="121" s="1"/>
  <c r="U82" i="121"/>
  <c r="U122" i="121" s="1"/>
  <c r="W87" i="121"/>
  <c r="W127" i="121" s="1"/>
  <c r="W86" i="121"/>
  <c r="W126" i="121" s="1"/>
  <c r="U85" i="121"/>
  <c r="U125" i="121" s="1"/>
  <c r="U83" i="121"/>
  <c r="U123" i="121" s="1"/>
  <c r="U87" i="121"/>
  <c r="U127" i="121" s="1"/>
  <c r="U86" i="121"/>
  <c r="U126" i="121" s="1"/>
  <c r="U84" i="121"/>
  <c r="U124" i="121" s="1"/>
  <c r="U5" i="121"/>
  <c r="U4" i="121"/>
  <c r="V9" i="121"/>
  <c r="U3" i="121"/>
  <c r="W6" i="121"/>
  <c r="U9" i="121"/>
  <c r="U7" i="121"/>
  <c r="V7" i="121"/>
  <c r="V14" i="121"/>
  <c r="W4" i="121"/>
  <c r="W9" i="121"/>
  <c r="U2" i="121"/>
  <c r="V13" i="121"/>
  <c r="U6" i="121"/>
  <c r="W119" i="121"/>
  <c r="W118" i="121"/>
  <c r="U121" i="121"/>
  <c r="U118" i="121"/>
  <c r="U119" i="121"/>
  <c r="V121" i="121"/>
  <c r="W121" i="121"/>
  <c r="W120" i="121"/>
  <c r="U120" i="121"/>
  <c r="V101" i="121"/>
  <c r="W99" i="121"/>
  <c r="W98" i="121"/>
  <c r="W97" i="121"/>
  <c r="U98" i="121"/>
  <c r="W95" i="121"/>
  <c r="U97" i="121"/>
  <c r="W96" i="121"/>
  <c r="W21" i="121"/>
  <c r="W65" i="121" s="1"/>
  <c r="W19" i="121"/>
  <c r="W63" i="121" s="1"/>
  <c r="V18" i="121"/>
  <c r="V62" i="121" s="1"/>
  <c r="V102" i="121" s="1"/>
  <c r="W24" i="121"/>
  <c r="W68" i="121" s="1"/>
  <c r="V25" i="121"/>
  <c r="V69" i="121" s="1"/>
  <c r="U24" i="121"/>
  <c r="U68" i="121" s="1"/>
  <c r="W22" i="121"/>
  <c r="W66" i="121" s="1"/>
  <c r="V3" i="120"/>
  <c r="W23" i="121"/>
  <c r="W67" i="121" s="1"/>
  <c r="U15" i="121"/>
  <c r="U59" i="121" s="1"/>
  <c r="U99" i="121" s="1"/>
  <c r="U21" i="121"/>
  <c r="U65" i="121" s="1"/>
  <c r="V22" i="121"/>
  <c r="V23" i="121"/>
  <c r="V67" i="121" s="1"/>
  <c r="V24" i="121"/>
  <c r="V68" i="121" s="1"/>
  <c r="V19" i="121"/>
  <c r="V63" i="121" s="1"/>
  <c r="W17" i="121"/>
  <c r="W61" i="121" s="1"/>
  <c r="U19" i="121"/>
  <c r="U63" i="121" s="1"/>
  <c r="W20" i="121"/>
  <c r="W64" i="121" s="1"/>
  <c r="U22" i="121"/>
  <c r="U66" i="121" s="1"/>
  <c r="U17" i="121"/>
  <c r="U61" i="121" s="1"/>
  <c r="U16" i="121"/>
  <c r="U60" i="121" s="1"/>
  <c r="V20" i="121"/>
  <c r="V64" i="121" s="1"/>
  <c r="W16" i="121"/>
  <c r="W60" i="121" s="1"/>
  <c r="W100" i="121" s="1"/>
  <c r="U18" i="121"/>
  <c r="U62" i="121" s="1"/>
  <c r="U23" i="121"/>
  <c r="U67" i="121" s="1"/>
  <c r="U20" i="121"/>
  <c r="U64" i="121" s="1"/>
  <c r="AC3" i="120"/>
  <c r="W18" i="121"/>
  <c r="W62" i="121" s="1"/>
  <c r="H33" i="112"/>
  <c r="V54" i="121" l="1"/>
  <c r="V94" i="121" s="1"/>
  <c r="U54" i="121"/>
  <c r="U94" i="121" s="1"/>
  <c r="W54" i="121"/>
  <c r="W94" i="121" s="1"/>
  <c r="V57" i="121"/>
  <c r="V97" i="121" s="1"/>
  <c r="V107" i="121"/>
  <c r="V66" i="121"/>
  <c r="V106" i="121" s="1"/>
  <c r="V99" i="121"/>
  <c r="V58" i="121"/>
  <c r="V98" i="121" s="1"/>
  <c r="W43" i="121"/>
  <c r="U43" i="121"/>
  <c r="V43" i="121"/>
  <c r="U100" i="121"/>
  <c r="V105" i="121"/>
  <c r="U107" i="121"/>
  <c r="U106" i="121"/>
  <c r="U102" i="121"/>
  <c r="W103" i="121"/>
  <c r="W106" i="121"/>
  <c r="W105" i="121"/>
  <c r="V103" i="121"/>
  <c r="U105" i="121"/>
  <c r="U104" i="121"/>
  <c r="U101" i="121"/>
  <c r="W102" i="121"/>
  <c r="W104" i="121"/>
  <c r="U103" i="121"/>
  <c r="V104" i="121"/>
  <c r="W101" i="121"/>
  <c r="V95" i="121"/>
  <c r="V111" i="121"/>
  <c r="V109" i="121"/>
  <c r="V110" i="121"/>
  <c r="V108" i="121"/>
  <c r="V96" i="121"/>
  <c r="V112" i="121"/>
  <c r="W107" i="121"/>
  <c r="W110" i="121"/>
  <c r="W109" i="121"/>
  <c r="U108" i="121"/>
  <c r="W108" i="121"/>
  <c r="U110" i="121"/>
  <c r="U109" i="121"/>
  <c r="W45" i="121" l="1"/>
  <c r="U45" i="121"/>
  <c r="V45" i="121"/>
  <c r="H32" i="112"/>
  <c r="H5" i="119" l="1"/>
  <c r="H4" i="119"/>
  <c r="M4" i="119" s="1"/>
  <c r="E4" i="119"/>
  <c r="M5" i="119" l="1"/>
  <c r="E5" i="119"/>
  <c r="D6" i="119"/>
  <c r="H6" i="119" s="1"/>
  <c r="H31" i="112"/>
  <c r="D7" i="119" l="1"/>
  <c r="H7" i="119" s="1"/>
  <c r="M6" i="119"/>
  <c r="E6" i="119"/>
  <c r="H30" i="112"/>
  <c r="H29" i="112"/>
  <c r="D8" i="119" l="1"/>
  <c r="H8" i="119" s="1"/>
  <c r="M7" i="119"/>
  <c r="E7" i="119"/>
  <c r="E3" i="22"/>
  <c r="D9" i="119" l="1"/>
  <c r="M8" i="119"/>
  <c r="E8" i="119"/>
  <c r="H28" i="112"/>
  <c r="H27" i="112"/>
  <c r="H63" i="112"/>
  <c r="H62" i="112"/>
  <c r="H61" i="112"/>
  <c r="H60" i="112"/>
  <c r="H59" i="112"/>
  <c r="H58" i="112"/>
  <c r="H55" i="112"/>
  <c r="H50" i="112"/>
  <c r="D10" i="119" l="1"/>
  <c r="H9" i="119"/>
  <c r="M9" i="119" s="1"/>
  <c r="E9" i="119"/>
  <c r="H10" i="119" l="1"/>
  <c r="M10" i="119" s="1"/>
  <c r="D11" i="119"/>
  <c r="D12" i="119" s="1"/>
  <c r="H12" i="119" s="1"/>
  <c r="E10" i="119"/>
  <c r="H25" i="112"/>
  <c r="H11" i="119" l="1"/>
  <c r="M11" i="119" s="1"/>
  <c r="E11" i="119"/>
  <c r="D13" i="119"/>
  <c r="H13" i="119" s="1"/>
  <c r="E12" i="119"/>
  <c r="G23" i="112"/>
  <c r="H23" i="112" s="1"/>
  <c r="D14" i="119" l="1"/>
  <c r="H14" i="119" s="1"/>
  <c r="M12" i="119"/>
  <c r="E13" i="119"/>
  <c r="M13" i="119" l="1"/>
  <c r="D15" i="119"/>
  <c r="H15" i="119" s="1"/>
  <c r="E14" i="119"/>
  <c r="M14" i="119" l="1"/>
  <c r="D16" i="119"/>
  <c r="H16" i="119" s="1"/>
  <c r="E15" i="119"/>
  <c r="D17" i="119" l="1"/>
  <c r="H17" i="119" s="1"/>
  <c r="M15" i="119"/>
  <c r="Z5" i="22" a="1"/>
  <c r="Z6" i="22" a="1"/>
  <c r="E16" i="119"/>
  <c r="M16" i="119" l="1"/>
  <c r="D18" i="119"/>
  <c r="H18" i="119" s="1"/>
  <c r="E17" i="119"/>
  <c r="D19" i="119" l="1"/>
  <c r="H19" i="119" s="1"/>
  <c r="M17" i="119"/>
  <c r="E18" i="119"/>
  <c r="D20" i="119" l="1"/>
  <c r="H20" i="119" s="1"/>
  <c r="M18" i="119"/>
  <c r="E19" i="119"/>
  <c r="M19" i="119" l="1"/>
  <c r="D21" i="119"/>
  <c r="H21" i="119" s="1"/>
  <c r="E20" i="119"/>
  <c r="M20" i="119" l="1"/>
  <c r="D22" i="119"/>
  <c r="H22" i="119" s="1"/>
  <c r="E21" i="119"/>
  <c r="M21" i="119" l="1"/>
  <c r="D23" i="119"/>
  <c r="H23" i="119" s="1"/>
  <c r="E22" i="119"/>
  <c r="M22" i="119" l="1"/>
  <c r="D24" i="119"/>
  <c r="H24" i="119" s="1"/>
  <c r="E23" i="119"/>
  <c r="M23" i="119" l="1"/>
  <c r="D25" i="119"/>
  <c r="H25" i="119" s="1"/>
  <c r="E24" i="119"/>
  <c r="G22" i="112"/>
  <c r="H22" i="112" s="1"/>
  <c r="M24" i="119" l="1"/>
  <c r="D26" i="119"/>
  <c r="H26" i="119" s="1"/>
  <c r="E25" i="119"/>
  <c r="M25" i="119" l="1"/>
  <c r="D27" i="119"/>
  <c r="H27" i="119" s="1"/>
  <c r="E26" i="119"/>
  <c r="M26" i="119" l="1"/>
  <c r="D28" i="119"/>
  <c r="H28" i="119" s="1"/>
  <c r="E27" i="119"/>
  <c r="P4" i="22" a="1"/>
  <c r="T4" i="22" a="1"/>
  <c r="V4" i="22" a="1"/>
  <c r="X4" i="22" a="1"/>
  <c r="M27" i="119" l="1"/>
  <c r="D29" i="119"/>
  <c r="H29" i="119" s="1"/>
  <c r="E28" i="119"/>
  <c r="G21" i="112"/>
  <c r="H21" i="112" s="1"/>
  <c r="M28" i="119" l="1"/>
  <c r="D30" i="119"/>
  <c r="H30" i="119" s="1"/>
  <c r="E29" i="119"/>
  <c r="M29" i="119" l="1"/>
  <c r="D31" i="119"/>
  <c r="H31" i="119" s="1"/>
  <c r="E30" i="119"/>
  <c r="E31" i="119" l="1"/>
  <c r="M30" i="119"/>
  <c r="M31" i="119" s="1"/>
  <c r="K2" i="21" l="1"/>
  <c r="N2" i="21" s="1"/>
  <c r="BH3" i="50" l="1"/>
  <c r="BI3" i="50"/>
  <c r="BJ3" i="50"/>
  <c r="BK3" i="50"/>
  <c r="BL3" i="50"/>
  <c r="BM3" i="50"/>
  <c r="BN3" i="50"/>
  <c r="BO3" i="50"/>
  <c r="BP3" i="50"/>
  <c r="BQ3" i="50"/>
  <c r="BR3" i="50"/>
  <c r="BH4" i="50"/>
  <c r="BI4" i="50"/>
  <c r="BJ4" i="50"/>
  <c r="BK4" i="50"/>
  <c r="BL4" i="50"/>
  <c r="BM4" i="50"/>
  <c r="BN4" i="50"/>
  <c r="BO4" i="50"/>
  <c r="BP4" i="50"/>
  <c r="BQ4" i="50"/>
  <c r="BR4" i="50"/>
  <c r="H10" i="112" l="1"/>
  <c r="H11" i="112"/>
  <c r="C35" i="119" l="1"/>
  <c r="C36" i="119" s="1"/>
  <c r="M32" i="119" l="1"/>
  <c r="D3" i="22" l="1"/>
  <c r="H9" i="112" l="1"/>
  <c r="Z4" i="22" l="1" a="1"/>
  <c r="H24" i="112" l="1"/>
  <c r="H8" i="112"/>
  <c r="H3" i="22" l="1"/>
  <c r="K3" i="22" s="1"/>
  <c r="G3" i="22"/>
  <c r="J3" i="22" s="1"/>
  <c r="AN3" i="22" s="1"/>
  <c r="H7" i="112"/>
  <c r="H6" i="112" l="1"/>
  <c r="H5" i="112" l="1"/>
  <c r="H4" i="112" l="1"/>
  <c r="H3" i="112" l="1"/>
  <c r="BH5" i="50" l="1"/>
  <c r="BI5" i="50"/>
  <c r="BJ5" i="50"/>
  <c r="BK5" i="50"/>
  <c r="BL5" i="50"/>
  <c r="BM5" i="50"/>
  <c r="BN5" i="50"/>
  <c r="BO5" i="50"/>
  <c r="BP5" i="50"/>
  <c r="BQ5" i="50"/>
  <c r="BR5" i="50"/>
  <c r="BH6" i="50"/>
  <c r="BI6" i="50"/>
  <c r="BJ6" i="50"/>
  <c r="BK6" i="50"/>
  <c r="BL6" i="50"/>
  <c r="BM6" i="50"/>
  <c r="BN6" i="50"/>
  <c r="BO6" i="50"/>
  <c r="BP6" i="50"/>
  <c r="BQ6" i="50"/>
  <c r="BR6" i="50"/>
  <c r="BH7" i="50"/>
  <c r="BI7" i="50"/>
  <c r="BJ7" i="50"/>
  <c r="BK7" i="50"/>
  <c r="BL7" i="50"/>
  <c r="BM7" i="50"/>
  <c r="BN7" i="50"/>
  <c r="BO7" i="50"/>
  <c r="BP7" i="50"/>
  <c r="BQ7" i="50"/>
  <c r="BR7" i="50"/>
  <c r="BH8" i="50"/>
  <c r="BI8" i="50"/>
  <c r="BJ8" i="50"/>
  <c r="BK8" i="50"/>
  <c r="BL8" i="50"/>
  <c r="BM8" i="50"/>
  <c r="BN8" i="50"/>
  <c r="BO8" i="50"/>
  <c r="BP8" i="50"/>
  <c r="BQ8" i="50"/>
  <c r="BR8" i="50"/>
  <c r="BH9" i="50"/>
  <c r="BI9" i="50"/>
  <c r="BJ9" i="50"/>
  <c r="BK9" i="50"/>
  <c r="BL9" i="50"/>
  <c r="BM9" i="50"/>
  <c r="BN9" i="50"/>
  <c r="BO9" i="50"/>
  <c r="BP9" i="50"/>
  <c r="BQ9" i="50"/>
  <c r="BR9" i="50"/>
  <c r="BH10" i="50"/>
  <c r="BI10" i="50"/>
  <c r="BJ10" i="50"/>
  <c r="BK10" i="50"/>
  <c r="BL10" i="50"/>
  <c r="BM10" i="50"/>
  <c r="BN10" i="50"/>
  <c r="BO10" i="50"/>
  <c r="BP10" i="50"/>
  <c r="BQ10" i="50"/>
  <c r="BR10" i="50"/>
  <c r="BH11" i="50"/>
  <c r="BI11" i="50"/>
  <c r="BJ11" i="50"/>
  <c r="BK11" i="50"/>
  <c r="BL11" i="50"/>
  <c r="BM11" i="50"/>
  <c r="BN11" i="50"/>
  <c r="BO11" i="50"/>
  <c r="BP11" i="50"/>
  <c r="BQ11" i="50"/>
  <c r="BR11" i="50"/>
  <c r="BH12" i="50"/>
  <c r="BI12" i="50"/>
  <c r="BJ12" i="50"/>
  <c r="BK12" i="50"/>
  <c r="BL12" i="50"/>
  <c r="BM12" i="50"/>
  <c r="BN12" i="50"/>
  <c r="BO12" i="50"/>
  <c r="BP12" i="50"/>
  <c r="BQ12" i="50"/>
  <c r="BR12" i="50"/>
  <c r="BH13" i="50"/>
  <c r="BI13" i="50"/>
  <c r="BJ13" i="50"/>
  <c r="BK13" i="50"/>
  <c r="BL13" i="50"/>
  <c r="BM13" i="50"/>
  <c r="BN13" i="50"/>
  <c r="BO13" i="50"/>
  <c r="BP13" i="50"/>
  <c r="BQ13" i="50"/>
  <c r="BR13" i="50"/>
  <c r="BH14" i="50"/>
  <c r="BI14" i="50"/>
  <c r="BJ14" i="50"/>
  <c r="BK14" i="50"/>
  <c r="BL14" i="50"/>
  <c r="BM14" i="50"/>
  <c r="BN14" i="50"/>
  <c r="BO14" i="50"/>
  <c r="BP14" i="50"/>
  <c r="BQ14" i="50"/>
  <c r="BR14" i="50"/>
  <c r="BH15" i="50"/>
  <c r="BI15" i="50"/>
  <c r="BJ15" i="50"/>
  <c r="BK15" i="50"/>
  <c r="BL15" i="50"/>
  <c r="BM15" i="50"/>
  <c r="BN15" i="50"/>
  <c r="BO15" i="50"/>
  <c r="BP15" i="50"/>
  <c r="BQ15" i="50"/>
  <c r="BR15" i="50"/>
  <c r="BH16" i="50"/>
  <c r="BI16" i="50"/>
  <c r="BJ16" i="50"/>
  <c r="BK16" i="50"/>
  <c r="BL16" i="50"/>
  <c r="BM16" i="50"/>
  <c r="BN16" i="50"/>
  <c r="BO16" i="50"/>
  <c r="BP16" i="50"/>
  <c r="BQ16" i="50"/>
  <c r="BR16" i="50"/>
  <c r="BH17" i="50"/>
  <c r="BI17" i="50"/>
  <c r="BJ17" i="50"/>
  <c r="BK17" i="50"/>
  <c r="BL17" i="50"/>
  <c r="BM17" i="50"/>
  <c r="BN17" i="50"/>
  <c r="BO17" i="50"/>
  <c r="BP17" i="50"/>
  <c r="BQ17" i="50"/>
  <c r="BR17" i="50"/>
  <c r="BH18" i="50"/>
  <c r="BI18" i="50"/>
  <c r="BJ18" i="50"/>
  <c r="BK18" i="50"/>
  <c r="BL18" i="50"/>
  <c r="BM18" i="50"/>
  <c r="BN18" i="50"/>
  <c r="BO18" i="50"/>
  <c r="BP18" i="50"/>
  <c r="BQ18" i="50"/>
  <c r="BR18" i="50"/>
  <c r="BH19" i="50"/>
  <c r="BI19" i="50"/>
  <c r="BJ19" i="50"/>
  <c r="BK19" i="50"/>
  <c r="BL19" i="50"/>
  <c r="BM19" i="50"/>
  <c r="BN19" i="50"/>
  <c r="BO19" i="50"/>
  <c r="BP19" i="50"/>
  <c r="BQ19" i="50"/>
  <c r="BR19" i="50"/>
  <c r="BH20" i="50"/>
  <c r="BI20" i="50"/>
  <c r="BJ20" i="50"/>
  <c r="BK20" i="50"/>
  <c r="BL20" i="50"/>
  <c r="BM20" i="50"/>
  <c r="BN20" i="50"/>
  <c r="BO20" i="50"/>
  <c r="BP20" i="50"/>
  <c r="BQ20" i="50"/>
  <c r="BR20" i="50"/>
  <c r="BH21" i="50"/>
  <c r="BI21" i="50"/>
  <c r="BJ21" i="50"/>
  <c r="BK21" i="50"/>
  <c r="BL21" i="50"/>
  <c r="BM21" i="50"/>
  <c r="BN21" i="50"/>
  <c r="BO21" i="50"/>
  <c r="BP21" i="50"/>
  <c r="BQ21" i="50"/>
  <c r="BR21" i="50"/>
  <c r="BH22" i="50"/>
  <c r="BI22" i="50"/>
  <c r="BJ22" i="50"/>
  <c r="BK22" i="50"/>
  <c r="BL22" i="50"/>
  <c r="BM22" i="50"/>
  <c r="BN22" i="50"/>
  <c r="BO22" i="50"/>
  <c r="BP22" i="50"/>
  <c r="BQ22" i="50"/>
  <c r="BR22" i="50"/>
  <c r="BH23" i="50"/>
  <c r="BI23" i="50"/>
  <c r="BJ23" i="50"/>
  <c r="BK23" i="50"/>
  <c r="BL23" i="50"/>
  <c r="BM23" i="50"/>
  <c r="BN23" i="50"/>
  <c r="BO23" i="50"/>
  <c r="BP23" i="50"/>
  <c r="BQ23" i="50"/>
  <c r="BR23" i="50"/>
  <c r="BH24" i="50"/>
  <c r="BI24" i="50"/>
  <c r="BJ24" i="50"/>
  <c r="BK24" i="50"/>
  <c r="BL24" i="50"/>
  <c r="BM24" i="50"/>
  <c r="BN24" i="50"/>
  <c r="BO24" i="50"/>
  <c r="BP24" i="50"/>
  <c r="BQ24" i="50"/>
  <c r="BR24" i="50"/>
  <c r="BH25" i="50"/>
  <c r="BI25" i="50"/>
  <c r="BJ25" i="50"/>
  <c r="BK25" i="50"/>
  <c r="BL25" i="50"/>
  <c r="BM25" i="50"/>
  <c r="BN25" i="50"/>
  <c r="BO25" i="50"/>
  <c r="BP25" i="50"/>
  <c r="BQ25" i="50"/>
  <c r="BR25" i="50"/>
  <c r="BH26" i="50"/>
  <c r="BI26" i="50"/>
  <c r="BJ26" i="50"/>
  <c r="BK26" i="50"/>
  <c r="BL26" i="50"/>
  <c r="BM26" i="50"/>
  <c r="BN26" i="50"/>
  <c r="BO26" i="50"/>
  <c r="BP26" i="50"/>
  <c r="BQ26" i="50"/>
  <c r="BR26" i="50"/>
  <c r="BH27" i="50"/>
  <c r="BI27" i="50"/>
  <c r="BJ27" i="50"/>
  <c r="BK27" i="50"/>
  <c r="BL27" i="50"/>
  <c r="BM27" i="50"/>
  <c r="BN27" i="50"/>
  <c r="BO27" i="50"/>
  <c r="BP27" i="50"/>
  <c r="BQ27" i="50"/>
  <c r="BR27" i="50"/>
  <c r="BH28" i="50"/>
  <c r="BI28" i="50"/>
  <c r="BJ28" i="50"/>
  <c r="BK28" i="50"/>
  <c r="BL28" i="50"/>
  <c r="BM28" i="50"/>
  <c r="BN28" i="50"/>
  <c r="BO28" i="50"/>
  <c r="BP28" i="50"/>
  <c r="BQ28" i="50"/>
  <c r="BR28" i="50"/>
  <c r="O3" i="21" l="1"/>
  <c r="O4" i="21"/>
  <c r="O5" i="21"/>
  <c r="O6" i="21"/>
  <c r="O7" i="21"/>
  <c r="O8" i="21"/>
  <c r="O9" i="21"/>
  <c r="O10" i="21"/>
  <c r="O11" i="21"/>
  <c r="O12" i="21"/>
  <c r="O13" i="21"/>
  <c r="O14" i="21"/>
  <c r="O15" i="21"/>
  <c r="O16" i="21"/>
  <c r="O17" i="21"/>
  <c r="O18" i="21"/>
  <c r="O19" i="21"/>
  <c r="O20" i="21"/>
  <c r="O21" i="21"/>
  <c r="O22" i="21"/>
  <c r="O23" i="21"/>
  <c r="O24" i="21"/>
  <c r="O25" i="21"/>
  <c r="O26" i="21"/>
  <c r="O27" i="21"/>
  <c r="O28" i="21"/>
  <c r="AO3" i="22" l="1"/>
  <c r="I3" i="21" l="1"/>
  <c r="I4" i="21"/>
  <c r="I5" i="21"/>
  <c r="I6" i="21"/>
  <c r="I7" i="21"/>
  <c r="I8" i="21"/>
  <c r="I9" i="21"/>
  <c r="I10" i="21"/>
  <c r="I11" i="21"/>
  <c r="I12" i="21"/>
  <c r="I13" i="21"/>
  <c r="I14" i="21"/>
  <c r="I15" i="21"/>
  <c r="I16" i="21"/>
  <c r="I17" i="21"/>
  <c r="I18" i="21"/>
  <c r="I19" i="21"/>
  <c r="I20" i="21"/>
  <c r="I21" i="21"/>
  <c r="I22" i="21"/>
  <c r="I23" i="21"/>
  <c r="I24" i="21"/>
  <c r="I25" i="21"/>
  <c r="I26" i="21"/>
  <c r="I27" i="21"/>
  <c r="I28" i="21"/>
  <c r="K4" i="22" l="1"/>
  <c r="AO4" i="22" s="1"/>
  <c r="AC8" i="120" l="1"/>
  <c r="H6" i="22" l="1"/>
  <c r="H4" i="22"/>
  <c r="H5" i="22"/>
  <c r="W6" i="22" s="1"/>
  <c r="U6" i="22" s="1"/>
  <c r="Y5" i="22" s="1"/>
  <c r="W5" i="22" s="1"/>
  <c r="U5" i="22" l="1"/>
  <c r="W4" i="22" s="1"/>
  <c r="J4" i="22"/>
  <c r="AA4" i="22"/>
  <c r="J5" i="22"/>
  <c r="AA5" i="22"/>
  <c r="J6" i="22"/>
  <c r="AA6" i="22"/>
  <c r="G6" i="22"/>
  <c r="I6" i="22" s="1"/>
  <c r="Y6" i="22"/>
  <c r="Y4" i="22"/>
  <c r="U4" i="22" s="1"/>
  <c r="G4" i="22"/>
  <c r="I4" i="22" s="1"/>
  <c r="G5" i="22"/>
  <c r="I5" i="22" s="1"/>
  <c r="Q5" i="22"/>
  <c r="D5" i="22"/>
  <c r="F5" i="22" s="1"/>
  <c r="Q4" i="22"/>
  <c r="D4" i="22"/>
  <c r="F4" i="22" s="1"/>
  <c r="D6" i="22"/>
  <c r="F6" i="22" s="1"/>
  <c r="Q6" i="22"/>
  <c r="AT4" i="22"/>
  <c r="S4" i="22"/>
  <c r="AT5" i="22"/>
  <c r="S5" i="22"/>
  <c r="S6" i="22"/>
  <c r="AT6" i="22"/>
  <c r="L6" i="22" l="1"/>
  <c r="AN6" i="22"/>
  <c r="AP6" i="22" s="1"/>
  <c r="L5" i="22"/>
  <c r="AN5" i="22"/>
  <c r="AP5" i="22" s="1"/>
  <c r="L4" i="22"/>
  <c r="AN4" i="22"/>
  <c r="AP4" i="2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<sst xmlns="http://schemas.openxmlformats.org/spreadsheetml/2006/main" count="2805" uniqueCount="632">
  <si>
    <t>BR_ID</t>
  </si>
  <si>
    <t>BR_Name</t>
  </si>
  <si>
    <t>HLA End Date</t>
  </si>
  <si>
    <t>ADC Start Date</t>
  </si>
  <si>
    <t>ADC End Date</t>
  </si>
  <si>
    <t>MPRA Start Date</t>
  </si>
  <si>
    <t>MPRA End Date</t>
  </si>
  <si>
    <t>-</t>
  </si>
  <si>
    <t>DR</t>
  </si>
  <si>
    <t>PDS</t>
  </si>
  <si>
    <t>DC2</t>
  </si>
  <si>
    <t>Building Delivery Date</t>
  </si>
  <si>
    <t>HLA Start date</t>
  </si>
  <si>
    <t>Addressing Submission</t>
  </si>
  <si>
    <t>Country</t>
  </si>
  <si>
    <t>Build Region ID</t>
  </si>
  <si>
    <t>Build Region Name</t>
  </si>
  <si>
    <t>Phase</t>
  </si>
  <si>
    <t>KMS</t>
  </si>
  <si>
    <t>Variance</t>
  </si>
  <si>
    <t>Phase2</t>
  </si>
  <si>
    <t>Remarks</t>
  </si>
  <si>
    <t>Region</t>
  </si>
  <si>
    <t>Driven Km</t>
  </si>
  <si>
    <t>kh.br.sa.bra.01</t>
  </si>
  <si>
    <t>Porto Velho</t>
  </si>
  <si>
    <t>kh.br.sa.bra.02</t>
  </si>
  <si>
    <t>Manaus</t>
  </si>
  <si>
    <t>kh.br.sa.bra.03</t>
  </si>
  <si>
    <t>Belem</t>
  </si>
  <si>
    <t>kh.br.sa.bra.04</t>
  </si>
  <si>
    <t>Cuiaba</t>
  </si>
  <si>
    <t>kh.br.sa.bra.05</t>
  </si>
  <si>
    <t>Corumba</t>
  </si>
  <si>
    <t>kh.br.sa.bra.06</t>
  </si>
  <si>
    <t>Porto Alegre</t>
  </si>
  <si>
    <t>kh.br.sa.bra.07_A</t>
  </si>
  <si>
    <t>kh.br.sa.bra.07_B</t>
  </si>
  <si>
    <t>kh.br.sa.bra.08_A</t>
  </si>
  <si>
    <t>kh.br.sa.bra.08_B</t>
  </si>
  <si>
    <t>kh.br.sa.bra.08_C</t>
  </si>
  <si>
    <t>kh.br.sa.bra.08_D</t>
  </si>
  <si>
    <t>kh.br.sa.bra.09_A</t>
  </si>
  <si>
    <t>kh.br.sa.bra.09_B</t>
  </si>
  <si>
    <t>kh.br.sa.bra.10_A</t>
  </si>
  <si>
    <t>kh.br.sa.bra.10_B</t>
  </si>
  <si>
    <t>kh.br.sa.bra.11_A</t>
  </si>
  <si>
    <t>kh.br.sa.bra.11_B</t>
  </si>
  <si>
    <t>kh.br.sa.bra.11_C</t>
  </si>
  <si>
    <t>kh.br.sa.bra.12</t>
  </si>
  <si>
    <t>Palmas</t>
  </si>
  <si>
    <t>kh.br.sa.bra.13</t>
  </si>
  <si>
    <t>Sao Luis</t>
  </si>
  <si>
    <t>kh.br.sa.bra.14</t>
  </si>
  <si>
    <t>Teresina</t>
  </si>
  <si>
    <t>kh.br.sa.bra.15</t>
  </si>
  <si>
    <t>Fortaleza</t>
  </si>
  <si>
    <t>kh.br.sa.bra.16</t>
  </si>
  <si>
    <t>Salvador</t>
  </si>
  <si>
    <t>kh.br.sa.bra.17</t>
  </si>
  <si>
    <t>Recife</t>
  </si>
  <si>
    <t>kh.br.sa.bra.18</t>
  </si>
  <si>
    <t>Natal</t>
  </si>
  <si>
    <t>kh.br.as.ind.01</t>
  </si>
  <si>
    <t>Mumbai</t>
  </si>
  <si>
    <t>kh.br.as.ind.02</t>
  </si>
  <si>
    <t>Pune</t>
  </si>
  <si>
    <t>kh.br.as.ind.03</t>
  </si>
  <si>
    <t>Nanded</t>
  </si>
  <si>
    <t>kh.br.as.ind.04</t>
  </si>
  <si>
    <t>Nagpur</t>
  </si>
  <si>
    <t>kh.br.as.ind.05</t>
  </si>
  <si>
    <t>Indore</t>
  </si>
  <si>
    <t>kh.br.as.ind.06</t>
  </si>
  <si>
    <t>Jabalpur</t>
  </si>
  <si>
    <t>kh.br.as.ind.07</t>
  </si>
  <si>
    <t>Goa</t>
  </si>
  <si>
    <t>kh.br.as.ind.08</t>
  </si>
  <si>
    <t>Davanagere</t>
  </si>
  <si>
    <t>kh.br.as.ind.09</t>
  </si>
  <si>
    <t>Bengaluru</t>
  </si>
  <si>
    <t>kh.br.as.ind.10</t>
  </si>
  <si>
    <t>Hyderabad</t>
  </si>
  <si>
    <t>kh.br.as.ind.11</t>
  </si>
  <si>
    <t>Warangal</t>
  </si>
  <si>
    <t>kh.br.as.ind.12</t>
  </si>
  <si>
    <t>Kadapa</t>
  </si>
  <si>
    <t>kh.br.as.ind.13</t>
  </si>
  <si>
    <t>Vijayawada</t>
  </si>
  <si>
    <t>kh.br.as.ind.14</t>
  </si>
  <si>
    <t>Kerala</t>
  </si>
  <si>
    <t>kh.br.as.ind.15</t>
  </si>
  <si>
    <t>Madurai</t>
  </si>
  <si>
    <t>kh.br.as.ind.16</t>
  </si>
  <si>
    <t>Erode</t>
  </si>
  <si>
    <t>kh.br.as.ind.17</t>
  </si>
  <si>
    <t>Chennai</t>
  </si>
  <si>
    <t>kh.br.as.ind.18</t>
  </si>
  <si>
    <t>Bhavnagar</t>
  </si>
  <si>
    <t>kh.br.as.ind.19</t>
  </si>
  <si>
    <t>Mahesana</t>
  </si>
  <si>
    <t>kh.br.as.ind.20</t>
  </si>
  <si>
    <t>Bikaner</t>
  </si>
  <si>
    <t>kh.br.as.ind.21</t>
  </si>
  <si>
    <t>Ajmer</t>
  </si>
  <si>
    <t>kh.br.as.ind.22</t>
  </si>
  <si>
    <t>Jaipur</t>
  </si>
  <si>
    <t>kh.br.as.ind.23</t>
  </si>
  <si>
    <t>Delhi</t>
  </si>
  <si>
    <t>kh.br.as.ind.24</t>
  </si>
  <si>
    <t>Haryāna</t>
  </si>
  <si>
    <t>kh.br.as.ind.25</t>
  </si>
  <si>
    <t>Jalandhar</t>
  </si>
  <si>
    <t>kh.br.as.ind.26</t>
  </si>
  <si>
    <t>Dehradun</t>
  </si>
  <si>
    <t>kh.br.as.ind.27</t>
  </si>
  <si>
    <t>Agra</t>
  </si>
  <si>
    <t>kh.br.as.ind.28</t>
  </si>
  <si>
    <t>Lucknow</t>
  </si>
  <si>
    <t>kh.br.as.ind.29</t>
  </si>
  <si>
    <t>Varanasi</t>
  </si>
  <si>
    <t>kh.br.as.ind.30</t>
  </si>
  <si>
    <t>Patna</t>
  </si>
  <si>
    <t>kh.br.as.ind.31</t>
  </si>
  <si>
    <t>Ranchi</t>
  </si>
  <si>
    <t>kh.br.as.ind.32</t>
  </si>
  <si>
    <t>Sambalpur</t>
  </si>
  <si>
    <t>kh.br.as.ind.33</t>
  </si>
  <si>
    <t>Kolkata</t>
  </si>
  <si>
    <t>kh.br.as.ind.34</t>
  </si>
  <si>
    <t>Dimapur</t>
  </si>
  <si>
    <t>kh.br.as.ind.35</t>
  </si>
  <si>
    <t>Lakshadweep</t>
  </si>
  <si>
    <t>kh.br.as.ind.36</t>
  </si>
  <si>
    <t>Andaman and Nicobar Islands</t>
  </si>
  <si>
    <t>kh.br.as.ind.37</t>
  </si>
  <si>
    <t>Ladākh</t>
  </si>
  <si>
    <t>kh.br.as.ind.38</t>
  </si>
  <si>
    <t>Jammu and Kashmīr South</t>
  </si>
  <si>
    <t>kh.br.as.ind.39</t>
  </si>
  <si>
    <t>Jammu and Kashmīr West</t>
  </si>
  <si>
    <t>kh.br.as.ind.40</t>
  </si>
  <si>
    <t>Jammu and Kashmīr Central</t>
  </si>
  <si>
    <t>kh.br.as.ind.41</t>
  </si>
  <si>
    <t>Jammu and Kashmīr East</t>
  </si>
  <si>
    <t>kh.br.as.ind.42</t>
  </si>
  <si>
    <t>Jammu and Kashmīr North</t>
  </si>
  <si>
    <t>kh.br.as.ind.44</t>
  </si>
  <si>
    <t>Aksai Chin</t>
  </si>
  <si>
    <t>kh.br.as.ind.45</t>
  </si>
  <si>
    <t>Demchok</t>
  </si>
  <si>
    <t>kh.br.as.ind.46</t>
  </si>
  <si>
    <t>Chumar</t>
  </si>
  <si>
    <t>kh.br.as.ind.47</t>
  </si>
  <si>
    <t>Shipki</t>
  </si>
  <si>
    <t>kh.br.as.ind.48</t>
  </si>
  <si>
    <t>Lapthal</t>
  </si>
  <si>
    <t>kh.br.as.ind.49</t>
  </si>
  <si>
    <t>Limpiyadhura</t>
  </si>
  <si>
    <t>kh.br.as.ind.50</t>
  </si>
  <si>
    <t>Susta</t>
  </si>
  <si>
    <t>kh.br.as.ind.51</t>
  </si>
  <si>
    <t>Arunāchal Pradesh</t>
  </si>
  <si>
    <t>COUNTRY</t>
  </si>
  <si>
    <t>HLA</t>
  </si>
  <si>
    <t>ADC</t>
  </si>
  <si>
    <t>MPRA</t>
  </si>
  <si>
    <t>Hookline</t>
  </si>
  <si>
    <t>HLA-BV</t>
  </si>
  <si>
    <t>Duplicate Cleanup</t>
  </si>
  <si>
    <t>Anamolies Cleanup</t>
  </si>
  <si>
    <t>ADC-AA</t>
  </si>
  <si>
    <t>AC-BV</t>
  </si>
  <si>
    <t>CopyRanges</t>
  </si>
  <si>
    <t>Access Point</t>
  </si>
  <si>
    <t>Re-SNAP HLA</t>
  </si>
  <si>
    <t>PFA</t>
  </si>
  <si>
    <t>Cluster DeDup</t>
  </si>
  <si>
    <t>MPRA-AA</t>
  </si>
  <si>
    <t>BRDRS_A</t>
  </si>
  <si>
    <t>Curitiba</t>
  </si>
  <si>
    <t>Joinville</t>
  </si>
  <si>
    <t>BRDRW</t>
  </si>
  <si>
    <t>BRDRN</t>
  </si>
  <si>
    <t>BRDRNE</t>
  </si>
  <si>
    <t>BRDRC_A</t>
  </si>
  <si>
    <t>Brasília</t>
  </si>
  <si>
    <t>Goiânia</t>
  </si>
  <si>
    <t>Belo Horizonte</t>
  </si>
  <si>
    <t>Uberlândia</t>
  </si>
  <si>
    <t>BRDRRIO</t>
  </si>
  <si>
    <t>Rio de Janeiro</t>
  </si>
  <si>
    <t>Campos dos Goytacazes</t>
  </si>
  <si>
    <t>Vitória</t>
  </si>
  <si>
    <t>BRDRSP</t>
  </si>
  <si>
    <t>São Paulo</t>
  </si>
  <si>
    <t>Campinas</t>
  </si>
  <si>
    <t>São José dos Campos</t>
  </si>
  <si>
    <t>Ribeirão Preto</t>
  </si>
  <si>
    <t>Brazil_P2</t>
  </si>
  <si>
    <t>Month &amp; Year</t>
  </si>
  <si>
    <t>DC2 Inventory</t>
  </si>
  <si>
    <t>Jan'26</t>
  </si>
  <si>
    <t>Feb'26</t>
  </si>
  <si>
    <t>Mar'26</t>
  </si>
  <si>
    <t>Apr'26</t>
  </si>
  <si>
    <t>May'26</t>
  </si>
  <si>
    <t>Jun'26</t>
  </si>
  <si>
    <t>Jul'26</t>
  </si>
  <si>
    <t>Overall</t>
  </si>
  <si>
    <t>Month</t>
  </si>
  <si>
    <t>Working days</t>
  </si>
  <si>
    <t>Total HC</t>
  </si>
  <si>
    <t>Total Available Capacity</t>
  </si>
  <si>
    <t>Inventory from Upstream (DC2)</t>
  </si>
  <si>
    <t xml:space="preserve">Pending effort </t>
  </si>
  <si>
    <t>Capacity available</t>
  </si>
  <si>
    <t>Status</t>
  </si>
  <si>
    <t>India</t>
  </si>
  <si>
    <t>Aug'26</t>
  </si>
  <si>
    <t>Drive Details</t>
  </si>
  <si>
    <t>FD</t>
  </si>
  <si>
    <t>Available</t>
  </si>
  <si>
    <t>Not Available</t>
  </si>
  <si>
    <t>Source Prep Start Date</t>
  </si>
  <si>
    <t>Source Prep End Date</t>
  </si>
  <si>
    <t>Source Prep</t>
  </si>
  <si>
    <t>Overall Pending Effort (Mandays)</t>
  </si>
  <si>
    <t>Post-drive</t>
  </si>
  <si>
    <t>Full-drive</t>
  </si>
  <si>
    <t>HLA Phase start date</t>
  </si>
  <si>
    <t>ADC Phase end date</t>
  </si>
  <si>
    <t>MPRA Phase end date</t>
  </si>
  <si>
    <t>HLA Phase end date</t>
  </si>
  <si>
    <t>Source Prep  (mandays)</t>
  </si>
  <si>
    <t>HLA
 (mandays)</t>
  </si>
  <si>
    <t>ADC (mandays)</t>
  </si>
  <si>
    <t>MPRA (mandays)</t>
  </si>
  <si>
    <t>WIP</t>
  </si>
  <si>
    <t>YTS</t>
  </si>
  <si>
    <t>Combo</t>
  </si>
  <si>
    <t>Combination</t>
  </si>
  <si>
    <t>Source Prep  (hours)</t>
  </si>
  <si>
    <t>HLA
 (hours)</t>
  </si>
  <si>
    <t>ADC (hours)</t>
  </si>
  <si>
    <t>MPRA (hours)</t>
  </si>
  <si>
    <t>Overall Pending Effort (hours)</t>
  </si>
  <si>
    <t>Shrinkage</t>
  </si>
  <si>
    <t>Attrition</t>
  </si>
  <si>
    <t>Net Inventory coming in current month</t>
  </si>
  <si>
    <t>Unused Inventory</t>
  </si>
  <si>
    <t>Source Prep Inventory (basis PDS date)</t>
  </si>
  <si>
    <t>Blocked</t>
  </si>
  <si>
    <t>JIP</t>
  </si>
  <si>
    <t>Awaiting Source</t>
  </si>
  <si>
    <t>Completed</t>
  </si>
  <si>
    <t>BRDRSP_P2</t>
  </si>
  <si>
    <t>BRDRRIO_P2</t>
  </si>
  <si>
    <t>BRDRNE_P2</t>
  </si>
  <si>
    <t>BRDRN_P2</t>
  </si>
  <si>
    <t>BRDRC_A_P2</t>
  </si>
  <si>
    <t>BRDRS_A_P2</t>
  </si>
  <si>
    <t>BRDRW_P2</t>
  </si>
  <si>
    <t>Idle Mandays</t>
  </si>
  <si>
    <t>3DV Processing End Date</t>
  </si>
  <si>
    <t>3DV Processing Status</t>
  </si>
  <si>
    <t>Planned</t>
  </si>
  <si>
    <t>Skipped</t>
  </si>
  <si>
    <t>Pre-HLA Effort</t>
  </si>
  <si>
    <t>DC2 Variance</t>
  </si>
  <si>
    <t>HLA Stage Start date</t>
  </si>
  <si>
    <t>HLA Stage Start date Variance</t>
  </si>
  <si>
    <t>HLA Stage End date</t>
  </si>
  <si>
    <t>HLA Stage End date Variance</t>
  </si>
  <si>
    <t>ADC Stage End date</t>
  </si>
  <si>
    <t>ADC Stage End date Variance</t>
  </si>
  <si>
    <t>MPRA Stage End date</t>
  </si>
  <si>
    <t>MPRA Stage End date Variance</t>
  </si>
  <si>
    <t>Naming QA Acceptance</t>
  </si>
  <si>
    <t>Inventory from Upstream (Naming QA)</t>
  </si>
  <si>
    <t>Naming QA</t>
  </si>
  <si>
    <t>Naming QA Variance</t>
  </si>
  <si>
    <t>Naming QA Inventory</t>
  </si>
  <si>
    <t>Naming</t>
  </si>
  <si>
    <t>Addressing</t>
  </si>
  <si>
    <t>MPRA End Dates</t>
  </si>
  <si>
    <t>Sep'26</t>
  </si>
  <si>
    <t>Oct'26</t>
  </si>
  <si>
    <t>Nov'26</t>
  </si>
  <si>
    <t>Dec'26</t>
  </si>
  <si>
    <t>BR ID</t>
  </si>
  <si>
    <t>Naming KM</t>
  </si>
  <si>
    <t>DC2 KM</t>
  </si>
  <si>
    <t>Naming Inventory (In Mandays)</t>
  </si>
  <si>
    <t>DC2 Inventory (In Mandays)</t>
  </si>
  <si>
    <t>Jan'27</t>
  </si>
  <si>
    <t>Feb'27</t>
  </si>
  <si>
    <t>Holiday List</t>
  </si>
  <si>
    <t>Last updated Date</t>
  </si>
  <si>
    <t>Abbreviations</t>
  </si>
  <si>
    <t>Definition</t>
  </si>
  <si>
    <t>Band (in days)</t>
  </si>
  <si>
    <t>Flag</t>
  </si>
  <si>
    <t>Category</t>
  </si>
  <si>
    <t>In Hand</t>
  </si>
  <si>
    <t>Waves In Progress</t>
  </si>
  <si>
    <t>&gt;2</t>
  </si>
  <si>
    <t>Green</t>
  </si>
  <si>
    <t>Mandays</t>
  </si>
  <si>
    <t>Waves generated &amp; yet to be picked</t>
  </si>
  <si>
    <t>&gt;1 - &lt;=2</t>
  </si>
  <si>
    <t>White</t>
  </si>
  <si>
    <t>Workdays</t>
  </si>
  <si>
    <t>Total work in BRs available from upstream (depends on jobrun)</t>
  </si>
  <si>
    <t>&gt;0.5 - &lt;=1</t>
  </si>
  <si>
    <t>Amber</t>
  </si>
  <si>
    <t>In Hand- Blocked</t>
  </si>
  <si>
    <t>Work Available till phase end for the Blocked Waves (Due to Job issues / source unavailabilty) </t>
  </si>
  <si>
    <t>&lt;=0.5</t>
  </si>
  <si>
    <t>Red</t>
  </si>
  <si>
    <t>HC</t>
  </si>
  <si>
    <t>Current Week (Date range)</t>
  </si>
  <si>
    <t>Work expected from Naming QA and DCLG in the current Week</t>
  </si>
  <si>
    <t>Current Week +1 (Date range)</t>
  </si>
  <si>
    <t>Work expected from Naming QA and DCLG in the upcoming Week</t>
  </si>
  <si>
    <t>Current Week +2 (Date range)</t>
  </si>
  <si>
    <t>Work expected from Naming QA and DCLG in the upcoming 2nd week</t>
  </si>
  <si>
    <t>Current Week +3 (Date range)</t>
  </si>
  <si>
    <t>Work expected from Naming QA and DCLG in the upcoming 3rd week</t>
  </si>
  <si>
    <t>BR</t>
  </si>
  <si>
    <t>WIP wave</t>
  </si>
  <si>
    <t>Dependencies (If Any)</t>
  </si>
  <si>
    <t>WIP (Effort in Man-days)</t>
  </si>
  <si>
    <t>Effort pending till end of BV (In Man days)</t>
  </si>
  <si>
    <t>Total</t>
  </si>
  <si>
    <t>HLA &amp; ADC</t>
  </si>
  <si>
    <t>Blocked Wave</t>
  </si>
  <si>
    <t>Dependencies
(If Any)</t>
  </si>
  <si>
    <t>Expected Date</t>
  </si>
  <si>
    <t>Week Range</t>
  </si>
  <si>
    <t>Markets</t>
  </si>
  <si>
    <t>Addressing Initiation Date</t>
  </si>
  <si>
    <t>Pre-Rx</t>
  </si>
  <si>
    <t>100% Utilization till (In Hand + Pre-Rx)</t>
  </si>
  <si>
    <t>In Pipeline</t>
  </si>
  <si>
    <t>Expected per Plan (Naming QA &amp; DC2)</t>
  </si>
  <si>
    <t>Year</t>
  </si>
  <si>
    <t>AdC</t>
  </si>
  <si>
    <t>Addressing Overall HC</t>
  </si>
  <si>
    <t>Jun</t>
  </si>
  <si>
    <t>Aug</t>
  </si>
  <si>
    <t>Sep</t>
  </si>
  <si>
    <t>Oct</t>
  </si>
  <si>
    <t>Nov</t>
  </si>
  <si>
    <t>Dec</t>
  </si>
  <si>
    <t>Jan</t>
  </si>
  <si>
    <t>Feb</t>
  </si>
  <si>
    <t>Apr</t>
  </si>
  <si>
    <t>May</t>
  </si>
  <si>
    <t>WIP &amp; YTS BRs</t>
  </si>
  <si>
    <t>Idle</t>
  </si>
  <si>
    <t>AP Validation</t>
  </si>
  <si>
    <t>RAP/ Deduce AP</t>
  </si>
  <si>
    <t xml:space="preserve">Verification </t>
  </si>
  <si>
    <t>Mar'27</t>
  </si>
  <si>
    <t>Apr'27</t>
  </si>
  <si>
    <t>May'27</t>
  </si>
  <si>
    <t>Naming Inventory (In hours)</t>
  </si>
  <si>
    <t>DC2 Inventory (In hours)</t>
  </si>
  <si>
    <t>In Pipeline from Upstream (Naming QA &amp; DC2)</t>
  </si>
  <si>
    <t>Jun'27</t>
  </si>
  <si>
    <t>Jul'27</t>
  </si>
  <si>
    <t>Additionally lost effort due to Plan vs Actual &amp; speed achievement</t>
  </si>
  <si>
    <t>Week consumption</t>
  </si>
  <si>
    <t>Current week pending efforts</t>
  </si>
  <si>
    <t>last week pending efforts</t>
  </si>
  <si>
    <t>Overall variance</t>
  </si>
  <si>
    <t>Aug'27</t>
  </si>
  <si>
    <t>Finishing</t>
  </si>
  <si>
    <t>FinIshing</t>
  </si>
  <si>
    <t xml:space="preserve">PFA Validation </t>
  </si>
  <si>
    <t>Ap Validation of large building</t>
  </si>
  <si>
    <t>Zero-drive</t>
  </si>
  <si>
    <t>Bringing back 42 HC from Finishing to Build</t>
  </si>
  <si>
    <t>Moving 42 HC (Additional) from Build to Finishing</t>
  </si>
  <si>
    <t>LTP  9/1</t>
  </si>
  <si>
    <t>LTP  9/8</t>
  </si>
  <si>
    <t>LTP  9/15</t>
  </si>
  <si>
    <t>Inventory from Product Improvement</t>
  </si>
  <si>
    <t>LTP  9/22</t>
  </si>
  <si>
    <t>LTP  9/29</t>
  </si>
  <si>
    <t>LTP  10/6</t>
  </si>
  <si>
    <t>LTP  10/13</t>
  </si>
  <si>
    <t>LTP  10/20</t>
  </si>
  <si>
    <t>LTP  10/27</t>
  </si>
  <si>
    <t>LTP  11/3</t>
  </si>
  <si>
    <t>LTP  11/10</t>
  </si>
  <si>
    <t>LTP  11/17</t>
  </si>
  <si>
    <t>LTP  11/24</t>
  </si>
  <si>
    <t>LTP 12/1</t>
  </si>
  <si>
    <t>LTP 12/8</t>
  </si>
  <si>
    <t>There is no FunT work planned beyond Nov'25; Hence 15 HC included in Production Dec'25 onwards</t>
  </si>
  <si>
    <t>LTP 12/22</t>
  </si>
  <si>
    <t>LTP 12/29</t>
  </si>
  <si>
    <t>LTP 12/15</t>
  </si>
  <si>
    <t>LTP 1/5</t>
  </si>
  <si>
    <t>India Completed by 31-Dec-2025</t>
  </si>
  <si>
    <t>LTP 1/12</t>
  </si>
  <si>
    <t>Holiday</t>
  </si>
  <si>
    <t>Daily Login HC</t>
  </si>
  <si>
    <t>LTP 1/19</t>
  </si>
  <si>
    <t>Final BV - Build Breaker</t>
  </si>
  <si>
    <t>LTP 2/2</t>
  </si>
  <si>
    <t>LTP 2/9</t>
  </si>
  <si>
    <t>LTP 2/16</t>
  </si>
  <si>
    <t>LTP 1/26</t>
  </si>
  <si>
    <t>LTP 2/23</t>
  </si>
  <si>
    <t>LTP 3/2</t>
  </si>
  <si>
    <t>LTP 3/9</t>
  </si>
  <si>
    <t>LTP 3/16</t>
  </si>
  <si>
    <t>LTP 3/23</t>
  </si>
  <si>
    <t>LTP 3/30</t>
  </si>
  <si>
    <t>LTP 4/6</t>
  </si>
  <si>
    <t>LTP 4/20</t>
  </si>
  <si>
    <t>Philippines</t>
  </si>
  <si>
    <t>Indonesia</t>
  </si>
  <si>
    <t>PHDR2</t>
  </si>
  <si>
    <t>PHDR1</t>
  </si>
  <si>
    <t>PHDR3</t>
  </si>
  <si>
    <t>IDDRSM</t>
  </si>
  <si>
    <t>IDDRKA</t>
  </si>
  <si>
    <t>IDDRJW</t>
  </si>
  <si>
    <t>IDDRSL</t>
  </si>
  <si>
    <t>IDDRNU</t>
  </si>
  <si>
    <t>IDDRML</t>
  </si>
  <si>
    <t>IDDRPP</t>
  </si>
  <si>
    <t>kh.br.as.phl.08</t>
  </si>
  <si>
    <t>Mimaropa</t>
  </si>
  <si>
    <t>kh.br.as.phl.09</t>
  </si>
  <si>
    <t>Western Visayas</t>
  </si>
  <si>
    <t>kh.br.as.phl.18</t>
  </si>
  <si>
    <t>Negros Island</t>
  </si>
  <si>
    <t>kh.br.as.phl.11</t>
  </si>
  <si>
    <t>Eastern Visayas</t>
  </si>
  <si>
    <t>kh.br.as.phl.10</t>
  </si>
  <si>
    <t>Central Visayas</t>
  </si>
  <si>
    <t>kh.br.as.phl.06</t>
  </si>
  <si>
    <t>Manila</t>
  </si>
  <si>
    <t>kh.br.as.phl.07</t>
  </si>
  <si>
    <t>Bicol</t>
  </si>
  <si>
    <t>kh.br.as.phl.04</t>
  </si>
  <si>
    <t>Central Luzon</t>
  </si>
  <si>
    <t>kh.br.as.phl.05</t>
  </si>
  <si>
    <t>Calabarzon</t>
  </si>
  <si>
    <t>kh.br.as.phl.02</t>
  </si>
  <si>
    <t>Cordillera</t>
  </si>
  <si>
    <t>kh.br.as.phl.03</t>
  </si>
  <si>
    <t>Cagayan Valley</t>
  </si>
  <si>
    <t>kh.br.as.phl.01</t>
  </si>
  <si>
    <t>Ilocos</t>
  </si>
  <si>
    <t>kh.br.as.phl.17</t>
  </si>
  <si>
    <t>Bangsamoro</t>
  </si>
  <si>
    <t>kh.br.as.phl.15</t>
  </si>
  <si>
    <t>Soccskargen</t>
  </si>
  <si>
    <t>kh.br.as.phl.16</t>
  </si>
  <si>
    <t>Caraga</t>
  </si>
  <si>
    <t>kh.br.as.phl.13</t>
  </si>
  <si>
    <t>Northern Mindanao</t>
  </si>
  <si>
    <t>kh.br.as.phl.14</t>
  </si>
  <si>
    <t>Davao</t>
  </si>
  <si>
    <t>kh.br.as.phl.12</t>
  </si>
  <si>
    <t>Zamboanga Peninsula</t>
  </si>
  <si>
    <t>kh.br.as.idn.01</t>
  </si>
  <si>
    <t>Aceh</t>
  </si>
  <si>
    <t>kh.br.as.idn.05</t>
  </si>
  <si>
    <t>Lampung</t>
  </si>
  <si>
    <t>kh.br.as.idn.04</t>
  </si>
  <si>
    <t>Sumatra Island South</t>
  </si>
  <si>
    <t>kh.br.as.idn.03</t>
  </si>
  <si>
    <t>Sumatra Island Central</t>
  </si>
  <si>
    <t>kh.br.as.idn.02</t>
  </si>
  <si>
    <t>Medan</t>
  </si>
  <si>
    <t>kh.br.as.idn.07</t>
  </si>
  <si>
    <t>West Kalimantan</t>
  </si>
  <si>
    <t>kh.br.as.idn.06</t>
  </si>
  <si>
    <t>East Kalimantan</t>
  </si>
  <si>
    <t>kh.br.as.idn.09</t>
  </si>
  <si>
    <t>Jakarta</t>
  </si>
  <si>
    <t>kh.br.as.idn.08</t>
  </si>
  <si>
    <t>Banten</t>
  </si>
  <si>
    <t>kh.br.as.idn.10_A</t>
  </si>
  <si>
    <t>West Java A</t>
  </si>
  <si>
    <t>kh.br.as.idn.12_C</t>
  </si>
  <si>
    <t>East Java C</t>
  </si>
  <si>
    <t>kh.br.as.idn.11_C</t>
  </si>
  <si>
    <t>Yogyakarta</t>
  </si>
  <si>
    <t>kh.br.as.idn.12_B</t>
  </si>
  <si>
    <t>East Java B</t>
  </si>
  <si>
    <t>kh.br.as.idn.11_B</t>
  </si>
  <si>
    <t>Central Java B</t>
  </si>
  <si>
    <t>kh.br.as.idn.12_A</t>
  </si>
  <si>
    <t>East Java A</t>
  </si>
  <si>
    <t>kh.br.as.idn.10_C</t>
  </si>
  <si>
    <t>West Java C</t>
  </si>
  <si>
    <t>kh.br.as.idn.10_B</t>
  </si>
  <si>
    <t>West Java B</t>
  </si>
  <si>
    <t>kh.br.as.idn.11_A</t>
  </si>
  <si>
    <t>Central Java A</t>
  </si>
  <si>
    <t>kh.br.as.idn.14</t>
  </si>
  <si>
    <t>Celebes South</t>
  </si>
  <si>
    <t>kh.br.as.idn.13</t>
  </si>
  <si>
    <t>Celebes North</t>
  </si>
  <si>
    <t>kh.br.as.idn.16</t>
  </si>
  <si>
    <t>East Nusa Tenggara</t>
  </si>
  <si>
    <t>kh.br.as.idn.15</t>
  </si>
  <si>
    <t>Bali</t>
  </si>
  <si>
    <t>kh.br.as.idn.18</t>
  </si>
  <si>
    <t>North Maluku</t>
  </si>
  <si>
    <t>kh.br.as.idn.17</t>
  </si>
  <si>
    <t>Maluku</t>
  </si>
  <si>
    <t>kh.br.as.idn.20</t>
  </si>
  <si>
    <t>Papua East</t>
  </si>
  <si>
    <t>kh.br.as.idn.19</t>
  </si>
  <si>
    <t>Papua West</t>
  </si>
  <si>
    <t>Sep'27</t>
  </si>
  <si>
    <t>Oct'27</t>
  </si>
  <si>
    <t>Nov'27</t>
  </si>
  <si>
    <t>Dec'27</t>
  </si>
  <si>
    <t>Jan'28</t>
  </si>
  <si>
    <t>Feb'28</t>
  </si>
  <si>
    <t>Mar'28</t>
  </si>
  <si>
    <t>Apr'28</t>
  </si>
  <si>
    <t>May'28</t>
  </si>
  <si>
    <t>Jun'28</t>
  </si>
  <si>
    <t>Jul'28</t>
  </si>
  <si>
    <t>Aug'28</t>
  </si>
  <si>
    <t>Sep'28</t>
  </si>
  <si>
    <t>Oct'28</t>
  </si>
  <si>
    <t>Nov'28</t>
  </si>
  <si>
    <t>Dec'28</t>
  </si>
  <si>
    <t>Mar</t>
  </si>
  <si>
    <t>Jul</t>
  </si>
  <si>
    <t>Tentative Brazil Phase2 completion time (8-Jun-27)</t>
  </si>
  <si>
    <t>Country End Dates &amp; Variance</t>
  </si>
  <si>
    <t>Addressing Start &amp; End date</t>
  </si>
  <si>
    <t>LTP 4/27</t>
  </si>
  <si>
    <t>LTP 5/4</t>
  </si>
  <si>
    <t xml:space="preserve"> </t>
  </si>
  <si>
    <t>LTP 5/11</t>
  </si>
  <si>
    <t>MPRA Stage</t>
  </si>
  <si>
    <t>LTP 5/18</t>
  </si>
  <si>
    <t>57HC Movement, MPRA HC is engaged in IND product improvement </t>
  </si>
  <si>
    <t>13HC Movement</t>
  </si>
  <si>
    <t>25HC kept aside for maintaining factory model HC (HLA 25HC)</t>
  </si>
  <si>
    <t>75HC kept aside for maintaining factory model HC (HLA 25HC and ADC 50HC)</t>
  </si>
  <si>
    <t>Interim idle time every month till Philippines closure</t>
  </si>
  <si>
    <t>50HC kept aside for maintaining factory model HC (HLA 25HC and ADC 25HC)</t>
  </si>
  <si>
    <t>LTP 5/25</t>
  </si>
  <si>
    <t>Vietnam_P2</t>
  </si>
  <si>
    <t>Moldova</t>
  </si>
  <si>
    <t>Jan'29</t>
  </si>
  <si>
    <t>Feb'29</t>
  </si>
  <si>
    <t>Mar'29</t>
  </si>
  <si>
    <t>Apr'29</t>
  </si>
  <si>
    <t>May'29</t>
  </si>
  <si>
    <t>FunT HC (15) moved to complete IDN FunT</t>
  </si>
  <si>
    <t>FunT HC (15) moved back to Production</t>
  </si>
  <si>
    <t>FunT HC (15) moved to complete PHL FunT</t>
  </si>
  <si>
    <t>Market</t>
  </si>
  <si>
    <t>LTP 6/1</t>
  </si>
  <si>
    <t>LTP 6/8</t>
  </si>
  <si>
    <t>LTP 6/15</t>
  </si>
  <si>
    <t>5 HC Added from Apple QA process to Addressing</t>
  </si>
  <si>
    <t>LTP 6/22</t>
  </si>
  <si>
    <t>20 HC moved for additional Finishing Task</t>
  </si>
  <si>
    <t>Pending Effort (in Hours)</t>
  </si>
  <si>
    <t>LTP 6/29</t>
  </si>
  <si>
    <t>LTP 7/6</t>
  </si>
  <si>
    <t>LTP 7/13</t>
  </si>
  <si>
    <t>Merge</t>
  </si>
  <si>
    <t>20 HC moved to Additional Finishing Task
25 HC moved to QA temporarily</t>
  </si>
  <si>
    <t>LTP 7/20</t>
  </si>
  <si>
    <t>Tentative Philippines completion time (7-Dec-28)</t>
  </si>
  <si>
    <t>Tentative Indonesia completion time (2-Sep-28)</t>
  </si>
  <si>
    <t>Tentative Philippines completion time (7-Dec-28)
As on date , No Future markets in pipeline </t>
  </si>
  <si>
    <t>25HC kept aside for maintaining factory model HC (HLA 25HC), 
Tentative Indonesia completion time (2-Sep-28)</t>
  </si>
  <si>
    <t>Tentative Brazil Phase2 completion time (8-Jun-27)
No inventory available for entire team post Brazil closure</t>
  </si>
  <si>
    <t>LTP 7/27</t>
  </si>
  <si>
    <t>°–</t>
  </si>
  <si>
    <t>Temporary Movement</t>
  </si>
  <si>
    <t>LTP 8/3</t>
  </si>
  <si>
    <t>20 HC movement extended for Additional Finishing Task
25 HC moved (Jul'26 to Sep'26) to QA temporarily</t>
  </si>
  <si>
    <t>Unmatched</t>
  </si>
  <si>
    <t>LTP 8/10</t>
  </si>
  <si>
    <t>Only Ranges1 &amp; Ranges2 worked in ADC Stage</t>
  </si>
  <si>
    <t>Ranges1, Ranges2 &amp; Access Points worked in ADC Stage</t>
  </si>
  <si>
    <t>Full Drive BRs</t>
  </si>
  <si>
    <t>Planned/Yet to start</t>
  </si>
  <si>
    <t>In Progress</t>
  </si>
  <si>
    <t>LTP 8/17</t>
  </si>
  <si>
    <t>LTP 8/24</t>
  </si>
  <si>
    <t>20 HC move back from Additional Finishing Task
25 HC move back from QA</t>
  </si>
  <si>
    <t>LTP 8/31</t>
  </si>
  <si>
    <t>MPRA BV</t>
  </si>
  <si>
    <t>Ranges1</t>
  </si>
  <si>
    <t>Ranges2</t>
  </si>
  <si>
    <t>Unexplained</t>
  </si>
  <si>
    <t>Current Stage</t>
  </si>
  <si>
    <t>Current Status</t>
  </si>
  <si>
    <t>Current Wave</t>
  </si>
  <si>
    <t>LTP 9/7</t>
  </si>
  <si>
    <t>Brazil</t>
  </si>
  <si>
    <t>Deployment Region</t>
  </si>
  <si>
    <t>BR Name</t>
  </si>
  <si>
    <t>Planner DR Sequence</t>
  </si>
  <si>
    <t>Planner BR Sequence</t>
  </si>
  <si>
    <t>LTP 9/14</t>
  </si>
  <si>
    <t>14-Sep-2026 :: Addressing Plan</t>
  </si>
  <si>
    <t>MPRA BV ITR2</t>
  </si>
  <si>
    <t>Resnap HLA</t>
  </si>
  <si>
    <t>LTP 9/21</t>
  </si>
  <si>
    <t>21-Sep-2026 :: Addressing Plan</t>
  </si>
  <si>
    <t>LTP 21-Sep-2026 :: Demand Vs Supply</t>
  </si>
  <si>
    <t>20 HC movement extended for Additional Finishing Task &amp; 40 HC for moved temporarily
25 HC moved (Jul'26 to Sep'26) to QA temporarily
40 HC for Highway Service Road task</t>
  </si>
  <si>
    <t>20+40 HC move back from Additional Finishing Task
25 HC move back from QA
40 HC move back from Highway Service Road task</t>
  </si>
  <si>
    <t>Addressing Finishing (33) + FunT (15)+Aditional finishing(40)</t>
  </si>
  <si>
    <t>20 HC movement extended for Additional Finishing Task &amp; 40 HC for moved temporarily
25 HC moved (Jul'26 to Sep'26) to QA temporarily &amp; 40 HC for Highway Service Road task</t>
  </si>
  <si>
    <t>HLA &amp; AdC Stage</t>
  </si>
  <si>
    <t>Current Week +3 (10/11 - 10/17)</t>
  </si>
  <si>
    <t>Current Week +2 (10/4 - 10/10)</t>
  </si>
  <si>
    <t>Current Week (9/20 - 9/26)</t>
  </si>
  <si>
    <t>Current Week +1 (9/27 - 10/3)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</si>
</sst>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m/d;@"/>
    <numFmt numFmtId="165" formatCode="[$-409]d\-mmm\-yy;@"/>
    <numFmt numFmtId="166" formatCode="0.0%"/>
    <numFmt numFmtId="167" formatCode="0.0"/>
  </numFmts>
  <fonts count="33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Helvetica"/>
      <family val="2"/>
    </font>
    <font>
      <b/>
      <sz val="10"/>
      <color theme="1"/>
      <name val="Helvetica"/>
      <family val="2"/>
    </font>
    <font>
      <sz val="10"/>
      <name val="Helvetica"/>
      <family val="2"/>
    </font>
    <font>
      <sz val="10"/>
      <color rgb="FF000000"/>
      <name val="Helvetica"/>
      <family val="2"/>
    </font>
    <font>
      <sz val="10"/>
      <color theme="0"/>
      <name val="Helvetica"/>
      <family val="2"/>
    </font>
    <font>
      <b/>
      <sz val="10"/>
      <color theme="0"/>
      <name val="Helvetica"/>
      <family val="2"/>
    </font>
    <font>
      <sz val="10"/>
      <color rgb="FFFF0000"/>
      <name val="Helvetica"/>
      <family val="2"/>
    </font>
    <font>
      <i/>
      <sz val="10"/>
      <name val="Helvetica"/>
      <family val="2"/>
    </font>
    <font>
      <b/>
      <sz val="10"/>
      <color rgb="FF000000"/>
      <name val="Helvetica"/>
      <family val="2"/>
    </font>
    <font>
      <b/>
      <sz val="9"/>
      <color theme="0"/>
      <name val="Helvetica"/>
      <family val="2"/>
    </font>
    <font>
      <sz val="9"/>
      <color theme="1"/>
      <name val="Helvetica"/>
      <family val="2"/>
    </font>
    <font>
      <sz val="9"/>
      <color rgb="FF000000"/>
      <name val="Helvetica"/>
      <family val="2"/>
    </font>
    <font>
      <b/>
      <sz val="9"/>
      <color rgb="FFFF0000"/>
      <name val="Helvetica"/>
      <family val="2"/>
    </font>
    <font>
      <sz val="9"/>
      <name val="Helvetica"/>
      <family val="2"/>
    </font>
    <font>
      <b/>
      <sz val="8"/>
      <color theme="0"/>
      <name val="Helvetica"/>
      <family val="2"/>
    </font>
    <font>
      <sz val="12"/>
      <color rgb="FF000000"/>
      <name val="Helvetica"/>
      <family val="2"/>
    </font>
    <font>
      <b/>
      <sz val="12"/>
      <color theme="0"/>
      <name val="Helvetica"/>
      <family val="2"/>
    </font>
    <font>
      <b/>
      <sz val="9"/>
      <color rgb="FF000000"/>
      <name val="Helvetica"/>
      <family val="2"/>
    </font>
    <font>
      <sz val="9"/>
      <color theme="0"/>
      <name val="Helvetica"/>
      <family val="2"/>
    </font>
    <font>
      <b/>
      <sz val="9"/>
      <name val="Helvetica"/>
      <family val="2"/>
    </font>
    <font>
      <b/>
      <sz val="9"/>
      <color theme="1"/>
      <name val="Helvetica"/>
      <family val="2"/>
    </font>
    <font>
      <sz val="8"/>
      <name val="Calibri"/>
      <family val="2"/>
      <scheme val="minor"/>
    </font>
    <font>
      <sz val="16"/>
      <color rgb="FFFF0000"/>
      <name val="Helvetica"/>
      <family val="2"/>
    </font>
    <font>
      <i/>
      <sz val="10"/>
      <color theme="0"/>
      <name val="Helvetica"/>
      <family val="2"/>
    </font>
    <font>
      <sz val="12"/>
      <color theme="0"/>
      <name val="Helvetica"/>
      <family val="2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0"/>
      <color rgb="FF7030A0"/>
      <name val="Helvetica"/>
      <family val="2"/>
    </font>
    <font>
      <b/>
      <sz val="10"/>
      <name val="Helvetica"/>
      <family val="2"/>
    </font>
    <font>
      <u/>
      <sz val="12"/>
      <color theme="10"/>
      <name val="Calibri"/>
      <family val="2"/>
      <scheme val="minor"/>
    </font>
    <font>
      <b/>
      <sz val="12"/>
      <color rgb="FF000000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/>
        <bgColor rgb="FF000000"/>
      </patternFill>
    </fill>
    <fill>
      <patternFill patternType="solid">
        <fgColor theme="5" tint="0.79998168889431442"/>
        <bgColor rgb="FF000000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FDFF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A9E8AE"/>
        <bgColor indexed="64"/>
      </patternFill>
    </fill>
    <fill>
      <patternFill patternType="solid">
        <fgColor rgb="FFF4D99F"/>
        <bgColor indexed="64"/>
      </patternFill>
    </fill>
    <fill>
      <patternFill patternType="solid">
        <fgColor rgb="FFF499A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EAAD8B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6F0CE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4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/>
      <bottom style="thin">
        <color indexed="64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1" fillId="0" borderId="0"/>
    <xf numFmtId="9" fontId="1" fillId="0" borderId="0" applyFont="0" applyFill="0" applyBorder="0" applyAlignment="0" applyProtection="0"/>
    <xf numFmtId="0" fontId="31" fillId="0" borderId="0" applyNumberFormat="0" applyFill="0" applyBorder="0" applyAlignment="0" applyProtection="0"/>
  </cellStyleXfs>
  <cellXfs count="359">
    <xf numFmtId="0" fontId="0" fillId="0" borderId="0" xfId="0"/>
    <xf numFmtId="1" fontId="2" fillId="0" borderId="1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1" fontId="2" fillId="0" borderId="0" xfId="0" applyNumberFormat="1" applyFont="1" applyAlignment="1">
      <alignment horizontal="center" vertical="center"/>
    </xf>
    <xf numFmtId="1" fontId="2" fillId="0" borderId="0" xfId="0" applyNumberFormat="1" applyFont="1"/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1" fontId="2" fillId="0" borderId="16" xfId="0" applyNumberFormat="1" applyFont="1" applyBorder="1" applyAlignment="1">
      <alignment horizontal="center" vertical="center"/>
    </xf>
    <xf numFmtId="1" fontId="2" fillId="0" borderId="10" xfId="0" applyNumberFormat="1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1" fontId="2" fillId="0" borderId="8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3" fontId="2" fillId="0" borderId="1" xfId="0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165" fontId="2" fillId="4" borderId="1" xfId="0" applyNumberFormat="1" applyFont="1" applyFill="1" applyBorder="1" applyAlignment="1">
      <alignment horizontal="center" vertical="center"/>
    </xf>
    <xf numFmtId="165" fontId="8" fillId="0" borderId="1" xfId="0" applyNumberFormat="1" applyFont="1" applyBorder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1" fontId="5" fillId="0" borderId="14" xfId="0" applyNumberFormat="1" applyFont="1" applyBorder="1" applyAlignment="1">
      <alignment horizontal="center" vertical="center"/>
    </xf>
    <xf numFmtId="3" fontId="2" fillId="0" borderId="0" xfId="0" applyNumberFormat="1" applyFont="1"/>
    <xf numFmtId="0" fontId="3" fillId="0" borderId="1" xfId="0" applyFont="1" applyBorder="1" applyAlignment="1">
      <alignment horizontal="center" vertical="center"/>
    </xf>
    <xf numFmtId="1" fontId="7" fillId="8" borderId="1" xfId="0" applyNumberFormat="1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3" fontId="5" fillId="0" borderId="14" xfId="0" applyNumberFormat="1" applyFont="1" applyBorder="1" applyAlignment="1">
      <alignment horizontal="center" vertical="center"/>
    </xf>
    <xf numFmtId="1" fontId="6" fillId="8" borderId="1" xfId="0" applyNumberFormat="1" applyFont="1" applyFill="1" applyBorder="1" applyAlignment="1">
      <alignment horizontal="center" vertical="center"/>
    </xf>
    <xf numFmtId="3" fontId="7" fillId="8" borderId="1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7" fillId="8" borderId="1" xfId="1" applyFont="1" applyFill="1" applyBorder="1" applyAlignment="1">
      <alignment horizontal="center" vertical="center" wrapText="1"/>
    </xf>
    <xf numFmtId="0" fontId="2" fillId="0" borderId="1" xfId="1" applyFont="1" applyBorder="1" applyAlignment="1">
      <alignment horizontal="center" vertical="center"/>
    </xf>
    <xf numFmtId="1" fontId="4" fillId="0" borderId="1" xfId="1" applyNumberFormat="1" applyFont="1" applyBorder="1" applyAlignment="1">
      <alignment horizontal="center" vertical="center"/>
    </xf>
    <xf numFmtId="166" fontId="2" fillId="0" borderId="1" xfId="2" applyNumberFormat="1" applyFont="1" applyBorder="1" applyAlignment="1">
      <alignment horizontal="center" vertical="center"/>
    </xf>
    <xf numFmtId="3" fontId="2" fillId="16" borderId="1" xfId="1" applyNumberFormat="1" applyFont="1" applyFill="1" applyBorder="1" applyAlignment="1">
      <alignment horizontal="center" vertical="center"/>
    </xf>
    <xf numFmtId="3" fontId="2" fillId="0" borderId="1" xfId="1" applyNumberFormat="1" applyFont="1" applyBorder="1" applyAlignment="1">
      <alignment horizontal="center" vertical="center"/>
    </xf>
    <xf numFmtId="0" fontId="2" fillId="0" borderId="0" xfId="1" applyFont="1" applyAlignment="1">
      <alignment horizontal="center" vertical="center"/>
    </xf>
    <xf numFmtId="1" fontId="2" fillId="0" borderId="0" xfId="1" applyNumberFormat="1" applyFont="1" applyAlignment="1">
      <alignment horizontal="center" vertical="center"/>
    </xf>
    <xf numFmtId="2" fontId="2" fillId="0" borderId="0" xfId="1" applyNumberFormat="1" applyFont="1" applyAlignment="1">
      <alignment horizontal="center" vertical="center"/>
    </xf>
    <xf numFmtId="1" fontId="2" fillId="0" borderId="0" xfId="1" applyNumberFormat="1" applyFont="1" applyAlignment="1">
      <alignment horizontal="left" vertical="center"/>
    </xf>
    <xf numFmtId="0" fontId="2" fillId="0" borderId="0" xfId="0" applyFont="1" applyAlignment="1">
      <alignment horizontal="center"/>
    </xf>
    <xf numFmtId="1" fontId="7" fillId="8" borderId="1" xfId="0" applyNumberFormat="1" applyFont="1" applyFill="1" applyBorder="1" applyAlignment="1">
      <alignment horizontal="center" vertical="center" wrapText="1"/>
    </xf>
    <xf numFmtId="3" fontId="4" fillId="0" borderId="1" xfId="0" applyNumberFormat="1" applyFont="1" applyBorder="1" applyAlignment="1">
      <alignment horizontal="center" vertical="center"/>
    </xf>
    <xf numFmtId="165" fontId="4" fillId="4" borderId="1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1" fontId="2" fillId="4" borderId="1" xfId="0" applyNumberFormat="1" applyFont="1" applyFill="1" applyBorder="1" applyAlignment="1">
      <alignment horizontal="center" vertical="center"/>
    </xf>
    <xf numFmtId="3" fontId="2" fillId="0" borderId="16" xfId="0" applyNumberFormat="1" applyFont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 wrapText="1"/>
    </xf>
    <xf numFmtId="9" fontId="2" fillId="0" borderId="1" xfId="2" applyFont="1" applyBorder="1" applyAlignment="1">
      <alignment horizontal="center" vertical="center"/>
    </xf>
    <xf numFmtId="0" fontId="11" fillId="8" borderId="1" xfId="0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/>
    </xf>
    <xf numFmtId="0" fontId="2" fillId="20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22" borderId="1" xfId="0" applyFont="1" applyFill="1" applyBorder="1" applyAlignment="1">
      <alignment horizontal="center" vertical="center"/>
    </xf>
    <xf numFmtId="1" fontId="2" fillId="12" borderId="1" xfId="0" applyNumberFormat="1" applyFont="1" applyFill="1" applyBorder="1" applyAlignment="1">
      <alignment horizontal="center" vertical="center"/>
    </xf>
    <xf numFmtId="1" fontId="2" fillId="8" borderId="1" xfId="0" applyNumberFormat="1" applyFont="1" applyFill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3" fontId="3" fillId="17" borderId="1" xfId="0" applyNumberFormat="1" applyFont="1" applyFill="1" applyBorder="1" applyAlignment="1">
      <alignment horizontal="center" vertical="center"/>
    </xf>
    <xf numFmtId="3" fontId="4" fillId="0" borderId="14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15" fontId="5" fillId="4" borderId="14" xfId="0" applyNumberFormat="1" applyFont="1" applyFill="1" applyBorder="1" applyAlignment="1">
      <alignment horizontal="center" vertical="center"/>
    </xf>
    <xf numFmtId="0" fontId="5" fillId="4" borderId="14" xfId="0" applyFont="1" applyFill="1" applyBorder="1" applyAlignment="1">
      <alignment horizontal="center" vertical="center"/>
    </xf>
    <xf numFmtId="15" fontId="5" fillId="0" borderId="14" xfId="0" applyNumberFormat="1" applyFont="1" applyBorder="1" applyAlignment="1">
      <alignment horizontal="center" vertical="center"/>
    </xf>
    <xf numFmtId="15" fontId="8" fillId="17" borderId="14" xfId="0" applyNumberFormat="1" applyFont="1" applyFill="1" applyBorder="1" applyAlignment="1">
      <alignment horizontal="center" vertical="center"/>
    </xf>
    <xf numFmtId="0" fontId="8" fillId="17" borderId="14" xfId="0" applyFont="1" applyFill="1" applyBorder="1" applyAlignment="1">
      <alignment horizontal="center" vertical="center"/>
    </xf>
    <xf numFmtId="0" fontId="2" fillId="16" borderId="1" xfId="0" applyFont="1" applyFill="1" applyBorder="1" applyAlignment="1">
      <alignment horizontal="center" vertical="center"/>
    </xf>
    <xf numFmtId="0" fontId="4" fillId="16" borderId="1" xfId="0" applyFont="1" applyFill="1" applyBorder="1" applyAlignment="1">
      <alignment horizontal="center" vertical="center"/>
    </xf>
    <xf numFmtId="0" fontId="15" fillId="5" borderId="1" xfId="0" applyFont="1" applyFill="1" applyBorder="1" applyAlignment="1">
      <alignment horizontal="center" vertical="center"/>
    </xf>
    <xf numFmtId="15" fontId="15" fillId="0" borderId="1" xfId="0" applyNumberFormat="1" applyFont="1" applyBorder="1" applyAlignment="1">
      <alignment horizontal="center" vertical="center"/>
    </xf>
    <xf numFmtId="1" fontId="15" fillId="0" borderId="1" xfId="0" applyNumberFormat="1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13" borderId="1" xfId="0" applyFont="1" applyFill="1" applyBorder="1" applyAlignment="1">
      <alignment horizontal="center" vertical="center" wrapText="1"/>
    </xf>
    <xf numFmtId="0" fontId="16" fillId="23" borderId="1" xfId="0" applyFont="1" applyFill="1" applyBorder="1" applyAlignment="1">
      <alignment horizontal="center" vertical="center" wrapText="1"/>
    </xf>
    <xf numFmtId="0" fontId="16" fillId="24" borderId="1" xfId="0" applyFont="1" applyFill="1" applyBorder="1" applyAlignment="1">
      <alignment horizontal="center" vertical="center"/>
    </xf>
    <xf numFmtId="0" fontId="16" fillId="24" borderId="1" xfId="0" applyFont="1" applyFill="1" applyBorder="1" applyAlignment="1">
      <alignment horizontal="center" vertical="center" wrapText="1"/>
    </xf>
    <xf numFmtId="0" fontId="2" fillId="25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2" fillId="26" borderId="1" xfId="0" applyFont="1" applyFill="1" applyBorder="1" applyAlignment="1">
      <alignment horizontal="center" vertical="center"/>
    </xf>
    <xf numFmtId="0" fontId="2" fillId="24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15" fontId="13" fillId="0" borderId="1" xfId="0" applyNumberFormat="1" applyFont="1" applyBorder="1" applyAlignment="1">
      <alignment horizontal="center" vertical="center"/>
    </xf>
    <xf numFmtId="15" fontId="12" fillId="0" borderId="1" xfId="0" applyNumberFormat="1" applyFont="1" applyBorder="1" applyAlignment="1">
      <alignment horizontal="center" vertical="center"/>
    </xf>
    <xf numFmtId="3" fontId="5" fillId="0" borderId="1" xfId="0" applyNumberFormat="1" applyFont="1" applyBorder="1" applyAlignment="1">
      <alignment horizontal="center" vertical="center"/>
    </xf>
    <xf numFmtId="165" fontId="3" fillId="0" borderId="1" xfId="0" applyNumberFormat="1" applyFont="1" applyBorder="1" applyAlignment="1">
      <alignment horizontal="center" vertical="center"/>
    </xf>
    <xf numFmtId="16" fontId="17" fillId="0" borderId="1" xfId="0" applyNumberFormat="1" applyFont="1" applyBorder="1" applyAlignment="1">
      <alignment horizontal="center" vertical="center"/>
    </xf>
    <xf numFmtId="16" fontId="18" fillId="8" borderId="1" xfId="0" applyNumberFormat="1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165" fontId="19" fillId="0" borderId="1" xfId="0" applyNumberFormat="1" applyFont="1" applyBorder="1" applyAlignment="1">
      <alignment horizontal="center" vertical="center"/>
    </xf>
    <xf numFmtId="1" fontId="11" fillId="14" borderId="1" xfId="0" applyNumberFormat="1" applyFont="1" applyFill="1" applyBorder="1" applyAlignment="1">
      <alignment horizontal="center" vertical="center"/>
    </xf>
    <xf numFmtId="0" fontId="20" fillId="14" borderId="1" xfId="0" applyFont="1" applyFill="1" applyBorder="1" applyAlignment="1">
      <alignment horizontal="center" vertical="center"/>
    </xf>
    <xf numFmtId="0" fontId="11" fillId="27" borderId="1" xfId="0" applyFont="1" applyFill="1" applyBorder="1" applyAlignment="1">
      <alignment horizontal="center" vertical="center" wrapText="1"/>
    </xf>
    <xf numFmtId="0" fontId="21" fillId="12" borderId="1" xfId="0" applyFont="1" applyFill="1" applyBorder="1" applyAlignment="1">
      <alignment horizontal="center" vertical="center" wrapText="1"/>
    </xf>
    <xf numFmtId="0" fontId="21" fillId="15" borderId="1" xfId="0" applyFont="1" applyFill="1" applyBorder="1" applyAlignment="1">
      <alignment horizontal="center" vertical="center" wrapText="1"/>
    </xf>
    <xf numFmtId="1" fontId="13" fillId="0" borderId="1" xfId="0" applyNumberFormat="1" applyFont="1" applyBorder="1" applyAlignment="1">
      <alignment horizontal="center" vertical="center"/>
    </xf>
    <xf numFmtId="0" fontId="13" fillId="28" borderId="1" xfId="0" applyFont="1" applyFill="1" applyBorder="1" applyAlignment="1">
      <alignment horizontal="center" vertical="center"/>
    </xf>
    <xf numFmtId="167" fontId="13" fillId="0" borderId="1" xfId="0" applyNumberFormat="1" applyFont="1" applyBorder="1" applyAlignment="1">
      <alignment horizontal="center" vertical="center"/>
    </xf>
    <xf numFmtId="0" fontId="13" fillId="29" borderId="1" xfId="0" applyFont="1" applyFill="1" applyBorder="1" applyAlignment="1">
      <alignment horizontal="center" vertical="center"/>
    </xf>
    <xf numFmtId="167" fontId="19" fillId="0" borderId="0" xfId="0" applyNumberFormat="1" applyFont="1" applyAlignment="1">
      <alignment horizontal="center" vertical="center"/>
    </xf>
    <xf numFmtId="1" fontId="13" fillId="0" borderId="1" xfId="0" applyNumberFormat="1" applyFont="1" applyBorder="1" applyAlignment="1">
      <alignment horizontal="center" vertical="center" wrapText="1"/>
    </xf>
    <xf numFmtId="0" fontId="13" fillId="30" borderId="1" xfId="0" applyFont="1" applyFill="1" applyBorder="1" applyAlignment="1">
      <alignment horizontal="center" vertical="center"/>
    </xf>
    <xf numFmtId="1" fontId="19" fillId="0" borderId="1" xfId="0" applyNumberFormat="1" applyFont="1" applyBorder="1" applyAlignment="1">
      <alignment horizontal="center" vertical="center"/>
    </xf>
    <xf numFmtId="165" fontId="12" fillId="0" borderId="0" xfId="0" applyNumberFormat="1" applyFont="1" applyAlignment="1">
      <alignment horizontal="center" vertical="center"/>
    </xf>
    <xf numFmtId="0" fontId="11" fillId="8" borderId="1" xfId="0" applyFont="1" applyFill="1" applyBorder="1" applyAlignment="1">
      <alignment horizontal="center" vertical="center"/>
    </xf>
    <xf numFmtId="1" fontId="22" fillId="17" borderId="1" xfId="0" applyNumberFormat="1" applyFont="1" applyFill="1" applyBorder="1" applyAlignment="1">
      <alignment horizontal="center" vertical="center"/>
    </xf>
    <xf numFmtId="0" fontId="13" fillId="0" borderId="0" xfId="0" applyFont="1"/>
    <xf numFmtId="0" fontId="11" fillId="31" borderId="1" xfId="0" applyFont="1" applyFill="1" applyBorder="1" applyAlignment="1">
      <alignment horizontal="center" vertical="center" wrapText="1"/>
    </xf>
    <xf numFmtId="15" fontId="10" fillId="4" borderId="14" xfId="0" applyNumberFormat="1" applyFont="1" applyFill="1" applyBorder="1" applyAlignment="1">
      <alignment horizontal="center" vertical="center"/>
    </xf>
    <xf numFmtId="165" fontId="8" fillId="17" borderId="1" xfId="0" applyNumberFormat="1" applyFont="1" applyFill="1" applyBorder="1" applyAlignment="1">
      <alignment horizontal="center" vertical="center"/>
    </xf>
    <xf numFmtId="1" fontId="6" fillId="21" borderId="1" xfId="0" applyNumberFormat="1" applyFont="1" applyFill="1" applyBorder="1" applyAlignment="1">
      <alignment horizontal="center" vertical="center"/>
    </xf>
    <xf numFmtId="0" fontId="19" fillId="32" borderId="1" xfId="0" applyFont="1" applyFill="1" applyBorder="1" applyAlignment="1">
      <alignment horizontal="center" vertical="center" wrapText="1"/>
    </xf>
    <xf numFmtId="167" fontId="12" fillId="0" borderId="1" xfId="0" applyNumberFormat="1" applyFont="1" applyBorder="1" applyAlignment="1">
      <alignment horizontal="center" vertical="center"/>
    </xf>
    <xf numFmtId="1" fontId="4" fillId="0" borderId="16" xfId="0" applyNumberFormat="1" applyFont="1" applyBorder="1" applyAlignment="1">
      <alignment horizontal="center" vertical="center"/>
    </xf>
    <xf numFmtId="0" fontId="6" fillId="2" borderId="15" xfId="0" applyFont="1" applyFill="1" applyBorder="1" applyAlignment="1">
      <alignment horizontal="center" vertical="center" wrapText="1"/>
    </xf>
    <xf numFmtId="0" fontId="6" fillId="14" borderId="4" xfId="0" applyFont="1" applyFill="1" applyBorder="1" applyAlignment="1">
      <alignment horizontal="center" vertical="center" wrapText="1"/>
    </xf>
    <xf numFmtId="1" fontId="2" fillId="14" borderId="21" xfId="0" applyNumberFormat="1" applyFont="1" applyFill="1" applyBorder="1" applyAlignment="1">
      <alignment horizontal="center" vertical="center"/>
    </xf>
    <xf numFmtId="1" fontId="2" fillId="14" borderId="4" xfId="0" applyNumberFormat="1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1" fontId="2" fillId="0" borderId="1" xfId="1" applyNumberFormat="1" applyFont="1" applyBorder="1" applyAlignment="1">
      <alignment horizontal="center" vertical="center"/>
    </xf>
    <xf numFmtId="1" fontId="7" fillId="14" borderId="1" xfId="1" applyNumberFormat="1" applyFont="1" applyFill="1" applyBorder="1" applyAlignment="1">
      <alignment horizontal="center" vertical="center"/>
    </xf>
    <xf numFmtId="1" fontId="7" fillId="14" borderId="1" xfId="1" applyNumberFormat="1" applyFont="1" applyFill="1" applyBorder="1" applyAlignment="1">
      <alignment horizontal="center" vertical="center" wrapText="1"/>
    </xf>
    <xf numFmtId="3" fontId="13" fillId="0" borderId="1" xfId="0" applyNumberFormat="1" applyFont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 wrapText="1"/>
    </xf>
    <xf numFmtId="0" fontId="6" fillId="2" borderId="24" xfId="0" applyFont="1" applyFill="1" applyBorder="1" applyAlignment="1">
      <alignment horizontal="center" vertical="center" wrapText="1"/>
    </xf>
    <xf numFmtId="1" fontId="2" fillId="19" borderId="19" xfId="0" applyNumberFormat="1" applyFont="1" applyFill="1" applyBorder="1" applyAlignment="1">
      <alignment horizontal="center" vertical="center"/>
    </xf>
    <xf numFmtId="1" fontId="2" fillId="19" borderId="25" xfId="0" applyNumberFormat="1" applyFont="1" applyFill="1" applyBorder="1" applyAlignment="1">
      <alignment horizontal="center" vertical="center"/>
    </xf>
    <xf numFmtId="1" fontId="2" fillId="19" borderId="20" xfId="0" applyNumberFormat="1" applyFont="1" applyFill="1" applyBorder="1" applyAlignment="1">
      <alignment horizontal="center" vertical="center"/>
    </xf>
    <xf numFmtId="3" fontId="3" fillId="0" borderId="0" xfId="0" applyNumberFormat="1" applyFont="1" applyAlignment="1">
      <alignment horizontal="center" vertical="center"/>
    </xf>
    <xf numFmtId="1" fontId="2" fillId="33" borderId="1" xfId="0" applyNumberFormat="1" applyFont="1" applyFill="1" applyBorder="1" applyAlignment="1">
      <alignment horizontal="center" vertical="center"/>
    </xf>
    <xf numFmtId="1" fontId="2" fillId="0" borderId="19" xfId="0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 wrapText="1"/>
    </xf>
    <xf numFmtId="0" fontId="3" fillId="0" borderId="0" xfId="1" applyFont="1" applyAlignment="1">
      <alignment vertical="center"/>
    </xf>
    <xf numFmtId="0" fontId="6" fillId="0" borderId="0" xfId="0" applyFont="1" applyAlignment="1">
      <alignment horizontal="right"/>
    </xf>
    <xf numFmtId="3" fontId="6" fillId="0" borderId="0" xfId="1" applyNumberFormat="1" applyFont="1" applyAlignment="1">
      <alignment horizontal="center" vertical="center"/>
    </xf>
    <xf numFmtId="3" fontId="6" fillId="0" borderId="0" xfId="0" applyNumberFormat="1" applyFont="1" applyAlignment="1">
      <alignment horizontal="right"/>
    </xf>
    <xf numFmtId="3" fontId="6" fillId="0" borderId="0" xfId="0" applyNumberFormat="1" applyFont="1" applyAlignment="1">
      <alignment horizontal="center"/>
    </xf>
    <xf numFmtId="0" fontId="3" fillId="0" borderId="0" xfId="0" applyFont="1" applyAlignment="1">
      <alignment horizontal="center" vertical="center"/>
    </xf>
    <xf numFmtId="3" fontId="2" fillId="0" borderId="0" xfId="0" applyNumberFormat="1" applyFont="1" applyAlignment="1">
      <alignment horizontal="center" vertical="center"/>
    </xf>
    <xf numFmtId="0" fontId="6" fillId="0" borderId="0" xfId="0" applyFont="1"/>
    <xf numFmtId="165" fontId="2" fillId="3" borderId="1" xfId="0" applyNumberFormat="1" applyFont="1" applyFill="1" applyBorder="1" applyAlignment="1">
      <alignment horizontal="center" vertical="center"/>
    </xf>
    <xf numFmtId="0" fontId="3" fillId="0" borderId="0" xfId="0" applyFont="1"/>
    <xf numFmtId="0" fontId="25" fillId="2" borderId="0" xfId="0" applyFont="1" applyFill="1" applyAlignment="1">
      <alignment horizontal="center" vertical="center" wrapText="1"/>
    </xf>
    <xf numFmtId="165" fontId="6" fillId="2" borderId="2" xfId="0" applyNumberFormat="1" applyFont="1" applyFill="1" applyBorder="1" applyAlignment="1">
      <alignment horizontal="centerContinuous" vertical="center"/>
    </xf>
    <xf numFmtId="165" fontId="6" fillId="2" borderId="3" xfId="0" applyNumberFormat="1" applyFont="1" applyFill="1" applyBorder="1" applyAlignment="1">
      <alignment horizontal="centerContinuous" vertical="center"/>
    </xf>
    <xf numFmtId="165" fontId="6" fillId="2" borderId="4" xfId="0" applyNumberFormat="1" applyFont="1" applyFill="1" applyBorder="1" applyAlignment="1">
      <alignment horizontal="centerContinuous" vertical="center"/>
    </xf>
    <xf numFmtId="165" fontId="6" fillId="2" borderId="1" xfId="0" applyNumberFormat="1" applyFont="1" applyFill="1" applyBorder="1" applyAlignment="1">
      <alignment horizontal="center" vertical="center" wrapText="1"/>
    </xf>
    <xf numFmtId="16" fontId="26" fillId="8" borderId="1" xfId="0" applyNumberFormat="1" applyFont="1" applyFill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1" fontId="2" fillId="33" borderId="1" xfId="1" applyNumberFormat="1" applyFont="1" applyFill="1" applyBorder="1" applyAlignment="1">
      <alignment horizontal="center" vertical="center"/>
    </xf>
    <xf numFmtId="0" fontId="27" fillId="0" borderId="0" xfId="0" applyFont="1"/>
    <xf numFmtId="1" fontId="3" fillId="0" borderId="1" xfId="1" applyNumberFormat="1" applyFont="1" applyBorder="1" applyAlignment="1">
      <alignment horizontal="center" vertical="center"/>
    </xf>
    <xf numFmtId="1" fontId="6" fillId="2" borderId="1" xfId="0" applyNumberFormat="1" applyFont="1" applyFill="1" applyBorder="1" applyAlignment="1">
      <alignment horizontal="center" vertical="center" wrapText="1"/>
    </xf>
    <xf numFmtId="3" fontId="6" fillId="2" borderId="1" xfId="0" applyNumberFormat="1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2" fillId="0" borderId="23" xfId="0" applyFont="1" applyBorder="1" applyAlignment="1">
      <alignment horizontal="center" vertical="center"/>
    </xf>
    <xf numFmtId="9" fontId="12" fillId="0" borderId="0" xfId="0" applyNumberFormat="1" applyFont="1" applyAlignment="1">
      <alignment horizontal="center" vertical="center"/>
    </xf>
    <xf numFmtId="0" fontId="2" fillId="9" borderId="1" xfId="0" applyFont="1" applyFill="1" applyBorder="1" applyAlignment="1">
      <alignment horizontal="center" vertical="center" wrapText="1"/>
    </xf>
    <xf numFmtId="164" fontId="6" fillId="10" borderId="1" xfId="0" applyNumberFormat="1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/>
    </xf>
    <xf numFmtId="164" fontId="4" fillId="11" borderId="1" xfId="0" applyNumberFormat="1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/>
    </xf>
    <xf numFmtId="164" fontId="6" fillId="8" borderId="1" xfId="0" applyNumberFormat="1" applyFont="1" applyFill="1" applyBorder="1" applyAlignment="1">
      <alignment horizontal="center" vertical="center" wrapText="1"/>
    </xf>
    <xf numFmtId="1" fontId="6" fillId="8" borderId="1" xfId="0" applyNumberFormat="1" applyFont="1" applyFill="1" applyBorder="1" applyAlignment="1">
      <alignment horizontal="center" vertical="center" wrapText="1"/>
    </xf>
    <xf numFmtId="1" fontId="6" fillId="8" borderId="1" xfId="0" applyNumberFormat="1" applyFont="1" applyFill="1" applyBorder="1" applyAlignment="1">
      <alignment vertical="center" wrapText="1"/>
    </xf>
    <xf numFmtId="0" fontId="4" fillId="9" borderId="1" xfId="0" applyFont="1" applyFill="1" applyBorder="1" applyAlignment="1">
      <alignment horizontal="center" vertical="center"/>
    </xf>
    <xf numFmtId="1" fontId="3" fillId="33" borderId="1" xfId="1" applyNumberFormat="1" applyFont="1" applyFill="1" applyBorder="1" applyAlignment="1">
      <alignment horizontal="center" vertical="center"/>
    </xf>
    <xf numFmtId="1" fontId="2" fillId="19" borderId="27" xfId="0" applyNumberFormat="1" applyFont="1" applyFill="1" applyBorder="1" applyAlignment="1">
      <alignment horizontal="center" vertical="center"/>
    </xf>
    <xf numFmtId="1" fontId="2" fillId="19" borderId="26" xfId="0" applyNumberFormat="1" applyFont="1" applyFill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1" fontId="2" fillId="19" borderId="24" xfId="0" applyNumberFormat="1" applyFont="1" applyFill="1" applyBorder="1" applyAlignment="1">
      <alignment horizontal="center" vertical="center"/>
    </xf>
    <xf numFmtId="1" fontId="2" fillId="17" borderId="1" xfId="1" applyNumberFormat="1" applyFont="1" applyFill="1" applyBorder="1" applyAlignment="1">
      <alignment horizontal="center" vertical="center"/>
    </xf>
    <xf numFmtId="0" fontId="14" fillId="0" borderId="0" xfId="0" applyFont="1" applyAlignment="1">
      <alignment horizontal="center" vertical="center" wrapText="1"/>
    </xf>
    <xf numFmtId="0" fontId="6" fillId="14" borderId="30" xfId="0" applyFont="1" applyFill="1" applyBorder="1" applyAlignment="1">
      <alignment horizontal="center" vertical="center" wrapText="1"/>
    </xf>
    <xf numFmtId="1" fontId="2" fillId="4" borderId="7" xfId="0" applyNumberFormat="1" applyFont="1" applyFill="1" applyBorder="1" applyAlignment="1">
      <alignment horizontal="center" vertical="center"/>
    </xf>
    <xf numFmtId="3" fontId="3" fillId="0" borderId="0" xfId="1" applyNumberFormat="1" applyFont="1" applyAlignment="1">
      <alignment vertical="center"/>
    </xf>
    <xf numFmtId="1" fontId="2" fillId="0" borderId="25" xfId="0" applyNumberFormat="1" applyFont="1" applyBorder="1" applyAlignment="1">
      <alignment horizontal="center" vertical="center"/>
    </xf>
    <xf numFmtId="1" fontId="2" fillId="0" borderId="31" xfId="0" applyNumberFormat="1" applyFont="1" applyBorder="1" applyAlignment="1">
      <alignment horizontal="center" vertical="center"/>
    </xf>
    <xf numFmtId="15" fontId="12" fillId="5" borderId="1" xfId="0" applyNumberFormat="1" applyFont="1" applyFill="1" applyBorder="1" applyAlignment="1">
      <alignment horizontal="center" vertical="center"/>
    </xf>
    <xf numFmtId="1" fontId="2" fillId="0" borderId="26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0" fillId="33" borderId="0" xfId="0" applyFill="1"/>
    <xf numFmtId="0" fontId="27" fillId="33" borderId="0" xfId="0" applyFont="1" applyFill="1"/>
    <xf numFmtId="1" fontId="0" fillId="0" borderId="0" xfId="0" applyNumberFormat="1"/>
    <xf numFmtId="3" fontId="2" fillId="18" borderId="1" xfId="1" applyNumberFormat="1" applyFont="1" applyFill="1" applyBorder="1" applyAlignment="1">
      <alignment horizontal="center" vertical="center"/>
    </xf>
    <xf numFmtId="0" fontId="6" fillId="2" borderId="17" xfId="0" applyFont="1" applyFill="1" applyBorder="1" applyAlignment="1">
      <alignment vertical="center" wrapText="1"/>
    </xf>
    <xf numFmtId="0" fontId="6" fillId="2" borderId="33" xfId="0" applyFont="1" applyFill="1" applyBorder="1" applyAlignment="1">
      <alignment horizontal="center" vertical="center" wrapText="1"/>
    </xf>
    <xf numFmtId="0" fontId="6" fillId="2" borderId="29" xfId="0" applyFont="1" applyFill="1" applyBorder="1" applyAlignment="1">
      <alignment horizontal="center" vertical="center" wrapText="1"/>
    </xf>
    <xf numFmtId="0" fontId="6" fillId="2" borderId="34" xfId="0" applyFont="1" applyFill="1" applyBorder="1" applyAlignment="1">
      <alignment horizontal="center" vertical="center" wrapText="1"/>
    </xf>
    <xf numFmtId="1" fontId="27" fillId="0" borderId="0" xfId="0" applyNumberFormat="1" applyFont="1"/>
    <xf numFmtId="1" fontId="28" fillId="0" borderId="1" xfId="0" applyNumberFormat="1" applyFont="1" applyBorder="1" applyAlignment="1">
      <alignment horizontal="center" wrapText="1"/>
    </xf>
    <xf numFmtId="1" fontId="2" fillId="11" borderId="1" xfId="1" applyNumberFormat="1" applyFont="1" applyFill="1" applyBorder="1" applyAlignment="1">
      <alignment horizontal="center" vertical="center"/>
    </xf>
    <xf numFmtId="165" fontId="2" fillId="5" borderId="1" xfId="0" applyNumberFormat="1" applyFont="1" applyFill="1" applyBorder="1" applyAlignment="1">
      <alignment horizontal="center" vertical="center"/>
    </xf>
    <xf numFmtId="1" fontId="12" fillId="0" borderId="0" xfId="0" applyNumberFormat="1" applyFont="1" applyAlignment="1">
      <alignment horizontal="center" vertical="center"/>
    </xf>
    <xf numFmtId="1" fontId="2" fillId="0" borderId="2" xfId="0" applyNumberFormat="1" applyFont="1" applyBorder="1" applyAlignment="1">
      <alignment horizontal="center" vertical="center"/>
    </xf>
    <xf numFmtId="1" fontId="4" fillId="0" borderId="2" xfId="0" applyNumberFormat="1" applyFont="1" applyBorder="1" applyAlignment="1">
      <alignment horizontal="center" vertical="center"/>
    </xf>
    <xf numFmtId="1" fontId="2" fillId="0" borderId="23" xfId="0" applyNumberFormat="1" applyFont="1" applyBorder="1" applyAlignment="1">
      <alignment horizontal="center" vertical="center"/>
    </xf>
    <xf numFmtId="1" fontId="2" fillId="0" borderId="24" xfId="0" applyNumberFormat="1" applyFont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1" fontId="2" fillId="17" borderId="8" xfId="0" applyNumberFormat="1" applyFont="1" applyFill="1" applyBorder="1" applyAlignment="1">
      <alignment horizontal="center" vertical="center"/>
    </xf>
    <xf numFmtId="3" fontId="2" fillId="0" borderId="15" xfId="0" applyNumberFormat="1" applyFont="1" applyBorder="1" applyAlignment="1">
      <alignment horizontal="center" vertical="center"/>
    </xf>
    <xf numFmtId="1" fontId="4" fillId="0" borderId="15" xfId="0" applyNumberFormat="1" applyFont="1" applyBorder="1" applyAlignment="1">
      <alignment horizontal="center" vertical="center"/>
    </xf>
    <xf numFmtId="1" fontId="2" fillId="0" borderId="22" xfId="0" applyNumberFormat="1" applyFont="1" applyBorder="1" applyAlignment="1">
      <alignment horizontal="center" vertical="center"/>
    </xf>
    <xf numFmtId="1" fontId="2" fillId="14" borderId="32" xfId="0" applyNumberFormat="1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" fontId="2" fillId="19" borderId="32" xfId="0" applyNumberFormat="1" applyFont="1" applyFill="1" applyBorder="1" applyAlignment="1">
      <alignment horizontal="center" vertical="center"/>
    </xf>
    <xf numFmtId="1" fontId="2" fillId="14" borderId="31" xfId="0" applyNumberFormat="1" applyFont="1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1" fontId="2" fillId="19" borderId="31" xfId="0" applyNumberFormat="1" applyFont="1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2" fillId="0" borderId="35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3" fontId="2" fillId="0" borderId="13" xfId="0" applyNumberFormat="1" applyFont="1" applyBorder="1" applyAlignment="1">
      <alignment horizontal="center" vertical="center"/>
    </xf>
    <xf numFmtId="1" fontId="4" fillId="0" borderId="13" xfId="0" applyNumberFormat="1" applyFont="1" applyBorder="1" applyAlignment="1">
      <alignment horizontal="center" vertical="center"/>
    </xf>
    <xf numFmtId="1" fontId="2" fillId="0" borderId="18" xfId="0" applyNumberFormat="1" applyFon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" fontId="2" fillId="14" borderId="26" xfId="0" applyNumberFormat="1" applyFont="1" applyFill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 wrapText="1"/>
    </xf>
    <xf numFmtId="0" fontId="0" fillId="0" borderId="0" xfId="0" quotePrefix="1"/>
    <xf numFmtId="0" fontId="28" fillId="0" borderId="0" xfId="0" applyFont="1"/>
    <xf numFmtId="165" fontId="5" fillId="0" borderId="1" xfId="0" applyNumberFormat="1" applyFont="1" applyBorder="1" applyAlignment="1">
      <alignment horizontal="center" vertical="center"/>
    </xf>
    <xf numFmtId="165" fontId="5" fillId="0" borderId="13" xfId="0" applyNumberFormat="1" applyFont="1" applyBorder="1" applyAlignment="1">
      <alignment horizontal="center" vertical="center"/>
    </xf>
    <xf numFmtId="1" fontId="2" fillId="0" borderId="27" xfId="0" applyNumberFormat="1" applyFont="1" applyBorder="1" applyAlignment="1">
      <alignment horizontal="center" vertical="center"/>
    </xf>
    <xf numFmtId="0" fontId="6" fillId="14" borderId="14" xfId="0" applyFont="1" applyFill="1" applyBorder="1" applyAlignment="1">
      <alignment horizontal="center" vertical="center" wrapText="1"/>
    </xf>
    <xf numFmtId="1" fontId="2" fillId="4" borderId="13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5" fillId="11" borderId="1" xfId="0" applyFont="1" applyFill="1" applyBorder="1" applyAlignment="1">
      <alignment horizontal="center" vertical="center"/>
    </xf>
    <xf numFmtId="1" fontId="5" fillId="11" borderId="1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wrapText="1"/>
    </xf>
    <xf numFmtId="0" fontId="5" fillId="33" borderId="1" xfId="0" applyFont="1" applyFill="1" applyBorder="1" applyAlignment="1">
      <alignment horizontal="center" vertical="center"/>
    </xf>
    <xf numFmtId="1" fontId="12" fillId="0" borderId="1" xfId="0" applyNumberFormat="1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165" fontId="4" fillId="0" borderId="0" xfId="0" applyNumberFormat="1" applyFont="1" applyAlignment="1">
      <alignment horizontal="center" vertical="center"/>
    </xf>
    <xf numFmtId="167" fontId="13" fillId="34" borderId="1" xfId="0" applyNumberFormat="1" applyFont="1" applyFill="1" applyBorder="1" applyAlignment="1">
      <alignment horizontal="center" vertical="center"/>
    </xf>
    <xf numFmtId="165" fontId="12" fillId="0" borderId="1" xfId="0" applyNumberFormat="1" applyFont="1" applyBorder="1" applyAlignment="1">
      <alignment horizontal="center" vertical="center"/>
    </xf>
    <xf numFmtId="3" fontId="5" fillId="0" borderId="0" xfId="0" applyNumberFormat="1" applyFont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3" fontId="4" fillId="5" borderId="1" xfId="0" applyNumberFormat="1" applyFont="1" applyFill="1" applyBorder="1" applyAlignment="1">
      <alignment horizontal="center" vertical="center"/>
    </xf>
    <xf numFmtId="3" fontId="4" fillId="33" borderId="1" xfId="0" applyNumberFormat="1" applyFont="1" applyFill="1" applyBorder="1" applyAlignment="1">
      <alignment horizontal="center" vertical="center"/>
    </xf>
    <xf numFmtId="3" fontId="4" fillId="35" borderId="1" xfId="0" applyNumberFormat="1" applyFont="1" applyFill="1" applyBorder="1" applyAlignment="1">
      <alignment horizontal="center" vertical="center"/>
    </xf>
    <xf numFmtId="1" fontId="2" fillId="17" borderId="1" xfId="1" applyNumberFormat="1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1" fontId="2" fillId="0" borderId="1" xfId="1" applyNumberFormat="1" applyFont="1" applyBorder="1" applyAlignment="1">
      <alignment horizontal="center" vertical="center" wrapText="1"/>
    </xf>
    <xf numFmtId="165" fontId="4" fillId="5" borderId="1" xfId="0" applyNumberFormat="1" applyFont="1" applyFill="1" applyBorder="1" applyAlignment="1">
      <alignment horizontal="center" vertical="center"/>
    </xf>
    <xf numFmtId="165" fontId="4" fillId="5" borderId="1" xfId="0" applyNumberFormat="1" applyFont="1" applyFill="1" applyBorder="1" applyAlignment="1">
      <alignment horizontal="center" vertical="center" wrapText="1"/>
    </xf>
    <xf numFmtId="1" fontId="30" fillId="5" borderId="1" xfId="0" applyNumberFormat="1" applyFont="1" applyFill="1" applyBorder="1" applyAlignment="1">
      <alignment horizontal="center" vertical="center"/>
    </xf>
    <xf numFmtId="1" fontId="30" fillId="12" borderId="1" xfId="0" applyNumberFormat="1" applyFont="1" applyFill="1" applyBorder="1" applyAlignment="1">
      <alignment horizontal="center" vertical="center"/>
    </xf>
    <xf numFmtId="0" fontId="2" fillId="36" borderId="1" xfId="0" applyFont="1" applyFill="1" applyBorder="1" applyAlignment="1">
      <alignment horizontal="center" vertical="center"/>
    </xf>
    <xf numFmtId="165" fontId="6" fillId="2" borderId="17" xfId="0" applyNumberFormat="1" applyFont="1" applyFill="1" applyBorder="1" applyAlignment="1">
      <alignment vertical="center" wrapText="1"/>
    </xf>
    <xf numFmtId="0" fontId="6" fillId="2" borderId="32" xfId="0" applyFont="1" applyFill="1" applyBorder="1" applyAlignment="1">
      <alignment horizontal="center" vertical="center" wrapText="1"/>
    </xf>
    <xf numFmtId="165" fontId="2" fillId="0" borderId="15" xfId="0" applyNumberFormat="1" applyFont="1" applyBorder="1" applyAlignment="1">
      <alignment horizontal="center" vertical="center"/>
    </xf>
    <xf numFmtId="3" fontId="5" fillId="0" borderId="15" xfId="0" applyNumberFormat="1" applyFont="1" applyBorder="1" applyAlignment="1">
      <alignment horizontal="center" vertical="center"/>
    </xf>
    <xf numFmtId="165" fontId="2" fillId="0" borderId="16" xfId="0" applyNumberFormat="1" applyFont="1" applyBorder="1" applyAlignment="1">
      <alignment horizontal="center" vertical="center"/>
    </xf>
    <xf numFmtId="3" fontId="5" fillId="0" borderId="16" xfId="0" applyNumberFormat="1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1" fontId="5" fillId="0" borderId="15" xfId="0" applyNumberFormat="1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7" fillId="2" borderId="37" xfId="0" applyFont="1" applyFill="1" applyBorder="1" applyAlignment="1">
      <alignment horizontal="center" vertical="center" wrapText="1"/>
    </xf>
    <xf numFmtId="0" fontId="7" fillId="2" borderId="38" xfId="0" applyFont="1" applyFill="1" applyBorder="1" applyAlignment="1">
      <alignment horizontal="center" vertical="center" wrapText="1"/>
    </xf>
    <xf numFmtId="165" fontId="7" fillId="2" borderId="38" xfId="0" applyNumberFormat="1" applyFont="1" applyFill="1" applyBorder="1" applyAlignment="1">
      <alignment horizontal="center" vertical="center" wrapText="1"/>
    </xf>
    <xf numFmtId="165" fontId="2" fillId="0" borderId="39" xfId="0" applyNumberFormat="1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 wrapText="1"/>
    </xf>
    <xf numFmtId="0" fontId="31" fillId="0" borderId="0" xfId="3"/>
    <xf numFmtId="1" fontId="2" fillId="37" borderId="1" xfId="0" applyNumberFormat="1" applyFont="1" applyFill="1" applyBorder="1" applyAlignment="1">
      <alignment horizontal="center" vertical="center"/>
    </xf>
    <xf numFmtId="1" fontId="2" fillId="37" borderId="16" xfId="0" applyNumberFormat="1" applyFont="1" applyFill="1" applyBorder="1" applyAlignment="1">
      <alignment horizontal="center" vertical="center"/>
    </xf>
    <xf numFmtId="1" fontId="3" fillId="5" borderId="13" xfId="0" applyNumberFormat="1" applyFont="1" applyFill="1" applyBorder="1" applyAlignment="1">
      <alignment horizontal="center" vertical="center"/>
    </xf>
    <xf numFmtId="0" fontId="6" fillId="2" borderId="36" xfId="0" applyFont="1" applyFill="1" applyBorder="1" applyAlignment="1">
      <alignment horizontal="center" vertical="center" wrapText="1"/>
    </xf>
    <xf numFmtId="1" fontId="2" fillId="4" borderId="4" xfId="0" applyNumberFormat="1" applyFont="1" applyFill="1" applyBorder="1" applyAlignment="1">
      <alignment horizontal="center" vertical="center"/>
    </xf>
    <xf numFmtId="1" fontId="2" fillId="4" borderId="21" xfId="0" applyNumberFormat="1" applyFont="1" applyFill="1" applyBorder="1" applyAlignment="1">
      <alignment horizontal="center" vertical="center"/>
    </xf>
    <xf numFmtId="1" fontId="2" fillId="0" borderId="14" xfId="0" applyNumberFormat="1" applyFont="1" applyBorder="1" applyAlignment="1">
      <alignment horizontal="center" vertical="center"/>
    </xf>
    <xf numFmtId="1" fontId="2" fillId="0" borderId="4" xfId="0" applyNumberFormat="1" applyFont="1" applyBorder="1" applyAlignment="1">
      <alignment horizontal="center" vertical="center"/>
    </xf>
    <xf numFmtId="1" fontId="2" fillId="0" borderId="21" xfId="0" applyNumberFormat="1" applyFont="1" applyBorder="1" applyAlignment="1">
      <alignment horizontal="center" vertical="center"/>
    </xf>
    <xf numFmtId="1" fontId="2" fillId="0" borderId="36" xfId="0" applyNumberFormat="1" applyFont="1" applyBorder="1" applyAlignment="1">
      <alignment horizontal="center" vertical="center"/>
    </xf>
    <xf numFmtId="0" fontId="8" fillId="15" borderId="1" xfId="0" applyFont="1" applyFill="1" applyBorder="1" applyAlignment="1">
      <alignment horizontal="center" vertical="center"/>
    </xf>
    <xf numFmtId="0" fontId="29" fillId="17" borderId="1" xfId="0" applyFont="1" applyFill="1" applyBorder="1" applyAlignment="1">
      <alignment horizontal="center" vertical="center"/>
    </xf>
    <xf numFmtId="0" fontId="6" fillId="2" borderId="18" xfId="0" applyFont="1" applyFill="1" applyBorder="1" applyAlignment="1">
      <alignment horizontal="center" vertical="center" wrapText="1"/>
    </xf>
    <xf numFmtId="0" fontId="32" fillId="0" borderId="0" xfId="0" applyFont="1"/>
    <xf numFmtId="1" fontId="2" fillId="5" borderId="8" xfId="0" applyNumberFormat="1" applyFont="1" applyFill="1" applyBorder="1" applyAlignment="1">
      <alignment horizontal="center" vertical="center"/>
    </xf>
    <xf numFmtId="0" fontId="2" fillId="38" borderId="1" xfId="0" applyFont="1" applyFill="1" applyBorder="1" applyAlignment="1">
      <alignment horizontal="center" vertical="center"/>
    </xf>
    <xf numFmtId="0" fontId="2" fillId="39" borderId="1" xfId="0" applyFont="1" applyFill="1" applyBorder="1" applyAlignment="1">
      <alignment horizontal="center" vertical="center"/>
    </xf>
    <xf numFmtId="0" fontId="2" fillId="40" borderId="1" xfId="0" applyFont="1" applyFill="1" applyBorder="1" applyAlignment="1">
      <alignment horizontal="center" vertical="center"/>
    </xf>
    <xf numFmtId="1" fontId="3" fillId="12" borderId="1" xfId="0" applyNumberFormat="1" applyFont="1" applyFill="1" applyBorder="1" applyAlignment="1">
      <alignment horizontal="center" vertical="center"/>
    </xf>
    <xf numFmtId="1" fontId="2" fillId="4" borderId="18" xfId="0" applyNumberFormat="1" applyFont="1" applyFill="1" applyBorder="1" applyAlignment="1">
      <alignment horizontal="center" vertical="center"/>
    </xf>
    <xf numFmtId="1" fontId="3" fillId="20" borderId="1" xfId="0" applyNumberFormat="1" applyFont="1" applyFill="1" applyBorder="1" applyAlignment="1">
      <alignment horizontal="center" vertical="center"/>
    </xf>
    <xf numFmtId="3" fontId="22" fillId="0" borderId="1" xfId="0" applyNumberFormat="1" applyFont="1" applyBorder="1" applyAlignment="1">
      <alignment horizontal="center" vertical="center"/>
    </xf>
    <xf numFmtId="1" fontId="22" fillId="0" borderId="1" xfId="0" applyNumberFormat="1" applyFont="1" applyBorder="1" applyAlignment="1">
      <alignment horizontal="center" vertical="center"/>
    </xf>
    <xf numFmtId="1" fontId="4" fillId="9" borderId="1" xfId="0" applyNumberFormat="1" applyFont="1" applyFill="1" applyBorder="1" applyAlignment="1">
      <alignment horizontal="center" vertical="center"/>
    </xf>
    <xf numFmtId="1" fontId="2" fillId="9" borderId="16" xfId="0" applyNumberFormat="1" applyFont="1" applyFill="1" applyBorder="1" applyAlignment="1">
      <alignment horizontal="center" vertical="center"/>
    </xf>
    <xf numFmtId="0" fontId="8" fillId="0" borderId="0" xfId="0" applyFont="1"/>
    <xf numFmtId="165" fontId="4" fillId="4" borderId="1" xfId="0" applyNumberFormat="1" applyFont="1" applyFill="1" applyBorder="1" applyAlignment="1">
      <alignment horizontal="center" vertical="center" wrapText="1"/>
    </xf>
    <xf numFmtId="1" fontId="3" fillId="5" borderId="1" xfId="0" applyNumberFormat="1" applyFont="1" applyFill="1" applyBorder="1" applyAlignment="1">
      <alignment horizontal="center" vertical="center"/>
    </xf>
    <xf numFmtId="1" fontId="4" fillId="3" borderId="1" xfId="1" applyNumberFormat="1" applyFont="1" applyFill="1" applyBorder="1" applyAlignment="1">
      <alignment horizontal="center" vertical="center"/>
    </xf>
    <xf numFmtId="1" fontId="8" fillId="3" borderId="1" xfId="1" applyNumberFormat="1" applyFont="1" applyFill="1" applyBorder="1" applyAlignment="1">
      <alignment horizontal="center" vertical="center"/>
    </xf>
    <xf numFmtId="1" fontId="6" fillId="0" borderId="0" xfId="0" applyNumberFormat="1" applyFont="1"/>
    <xf numFmtId="1" fontId="3" fillId="20" borderId="13" xfId="0" applyNumberFormat="1" applyFont="1" applyFill="1" applyBorder="1" applyAlignment="1">
      <alignment horizontal="center" vertical="center"/>
    </xf>
    <xf numFmtId="165" fontId="6" fillId="2" borderId="2" xfId="0" applyNumberFormat="1" applyFont="1" applyFill="1" applyBorder="1" applyAlignment="1">
      <alignment horizontal="center" vertical="center"/>
    </xf>
    <xf numFmtId="165" fontId="6" fillId="2" borderId="3" xfId="0" applyNumberFormat="1" applyFont="1" applyFill="1" applyBorder="1" applyAlignment="1">
      <alignment horizontal="center" vertical="center"/>
    </xf>
    <xf numFmtId="165" fontId="6" fillId="2" borderId="4" xfId="0" applyNumberFormat="1" applyFont="1" applyFill="1" applyBorder="1" applyAlignment="1">
      <alignment horizontal="center" vertical="center"/>
    </xf>
    <xf numFmtId="0" fontId="6" fillId="2" borderId="12" xfId="0" applyFont="1" applyFill="1" applyBorder="1" applyAlignment="1">
      <alignment horizontal="center" vertical="center" wrapText="1"/>
    </xf>
    <xf numFmtId="0" fontId="24" fillId="0" borderId="12" xfId="0" applyFont="1" applyBorder="1" applyAlignment="1">
      <alignment horizontal="center" vertical="center" wrapText="1"/>
    </xf>
    <xf numFmtId="0" fontId="16" fillId="13" borderId="11" xfId="0" applyFont="1" applyFill="1" applyBorder="1" applyAlignment="1">
      <alignment horizontal="center" vertical="center" wrapText="1"/>
    </xf>
    <xf numFmtId="0" fontId="16" fillId="13" borderId="17" xfId="0" applyFont="1" applyFill="1" applyBorder="1" applyAlignment="1">
      <alignment horizontal="center" vertical="center" wrapText="1"/>
    </xf>
    <xf numFmtId="0" fontId="16" fillId="13" borderId="13" xfId="0" applyFont="1" applyFill="1" applyBorder="1" applyAlignment="1">
      <alignment horizontal="center" vertical="center" wrapText="1"/>
    </xf>
    <xf numFmtId="0" fontId="16" fillId="13" borderId="2" xfId="0" applyFont="1" applyFill="1" applyBorder="1" applyAlignment="1">
      <alignment horizontal="center" vertical="center" wrapText="1"/>
    </xf>
    <xf numFmtId="0" fontId="16" fillId="13" borderId="3" xfId="0" applyFont="1" applyFill="1" applyBorder="1" applyAlignment="1">
      <alignment horizontal="center" vertical="center" wrapText="1"/>
    </xf>
    <xf numFmtId="0" fontId="16" fillId="13" borderId="4" xfId="0" applyFont="1" applyFill="1" applyBorder="1" applyAlignment="1">
      <alignment horizontal="center" vertical="center" wrapText="1"/>
    </xf>
    <xf numFmtId="0" fontId="16" fillId="13" borderId="18" xfId="0" applyFont="1" applyFill="1" applyBorder="1" applyAlignment="1">
      <alignment horizontal="center" vertical="center"/>
    </xf>
    <xf numFmtId="0" fontId="16" fillId="13" borderId="12" xfId="0" applyFont="1" applyFill="1" applyBorder="1" applyAlignment="1">
      <alignment horizontal="center" vertical="center"/>
    </xf>
    <xf numFmtId="0" fontId="16" fillId="13" borderId="1" xfId="0" applyFont="1" applyFill="1" applyBorder="1" applyAlignment="1">
      <alignment horizontal="center" vertical="center" wrapText="1"/>
    </xf>
    <xf numFmtId="0" fontId="16" fillId="13" borderId="2" xfId="0" applyFont="1" applyFill="1" applyBorder="1" applyAlignment="1">
      <alignment horizontal="center" vertical="center"/>
    </xf>
    <xf numFmtId="0" fontId="16" fillId="13" borderId="3" xfId="0" applyFont="1" applyFill="1" applyBorder="1" applyAlignment="1">
      <alignment horizontal="center" vertical="center"/>
    </xf>
    <xf numFmtId="0" fontId="16" fillId="13" borderId="4" xfId="0" applyFont="1" applyFill="1" applyBorder="1" applyAlignment="1">
      <alignment horizontal="center" vertical="center"/>
    </xf>
    <xf numFmtId="0" fontId="16" fillId="13" borderId="13" xfId="0" applyFont="1" applyFill="1" applyBorder="1" applyAlignment="1">
      <alignment horizontal="center" vertical="center"/>
    </xf>
    <xf numFmtId="0" fontId="16" fillId="13" borderId="1" xfId="0" applyFont="1" applyFill="1" applyBorder="1" applyAlignment="1">
      <alignment horizontal="center" vertical="center"/>
    </xf>
    <xf numFmtId="0" fontId="16" fillId="13" borderId="17" xfId="0" applyFont="1" applyFill="1" applyBorder="1" applyAlignment="1">
      <alignment horizontal="center" vertical="center"/>
    </xf>
    <xf numFmtId="0" fontId="16" fillId="13" borderId="11" xfId="0" applyFont="1" applyFill="1" applyBorder="1" applyAlignment="1">
      <alignment horizontal="center" vertical="center"/>
    </xf>
    <xf numFmtId="0" fontId="11" fillId="8" borderId="11" xfId="0" applyFont="1" applyFill="1" applyBorder="1" applyAlignment="1">
      <alignment horizontal="center" vertical="center" wrapText="1"/>
    </xf>
    <xf numFmtId="0" fontId="11" fillId="8" borderId="13" xfId="0" applyFont="1" applyFill="1" applyBorder="1" applyAlignment="1">
      <alignment horizontal="center" vertical="center" wrapText="1"/>
    </xf>
    <xf numFmtId="0" fontId="11" fillId="8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15" fontId="3" fillId="4" borderId="1" xfId="1" applyNumberFormat="1" applyFont="1" applyFill="1" applyBorder="1" applyAlignment="1">
      <alignment horizontal="center" vertical="center"/>
    </xf>
    <xf numFmtId="0" fontId="21" fillId="15" borderId="2" xfId="0" applyFont="1" applyFill="1" applyBorder="1" applyAlignment="1">
      <alignment horizontal="center" vertical="center" wrapText="1"/>
    </xf>
    <xf numFmtId="0" fontId="21" fillId="15" borderId="3" xfId="0" applyFont="1" applyFill="1" applyBorder="1" applyAlignment="1">
      <alignment horizontal="center" vertical="center" wrapText="1"/>
    </xf>
    <xf numFmtId="0" fontId="21" fillId="15" borderId="4" xfId="0" applyFont="1" applyFill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/>
    </xf>
    <xf numFmtId="0" fontId="14" fillId="0" borderId="28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9" fillId="15" borderId="2" xfId="0" applyFont="1" applyFill="1" applyBorder="1" applyAlignment="1">
      <alignment horizontal="center"/>
    </xf>
    <xf numFmtId="0" fontId="19" fillId="15" borderId="3" xfId="0" applyFont="1" applyFill="1" applyBorder="1" applyAlignment="1">
      <alignment horizontal="center"/>
    </xf>
    <xf numFmtId="0" fontId="19" fillId="15" borderId="4" xfId="0" applyFont="1" applyFill="1" applyBorder="1" applyAlignment="1">
      <alignment horizontal="center"/>
    </xf>
    <xf numFmtId="0" fontId="13" fillId="0" borderId="1" xfId="0" applyFont="1" applyBorder="1" applyAlignment="1">
      <alignment horizontal="center" vertical="center"/>
    </xf>
    <xf numFmtId="0" fontId="11" fillId="27" borderId="1" xfId="0" applyFont="1" applyFill="1" applyBorder="1" applyAlignment="1">
      <alignment horizontal="center" vertical="center"/>
    </xf>
    <xf numFmtId="0" fontId="22" fillId="4" borderId="1" xfId="0" applyFont="1" applyFill="1" applyBorder="1" applyAlignment="1">
      <alignment horizontal="center" vertical="center"/>
    </xf>
  </cellXfs>
  <cellStyles count="4">
    <cellStyle name="Hyperlink" xfId="3" builtinId="8"/>
    <cellStyle name="Normal" xfId="0" builtinId="0"/>
    <cellStyle name="Normal 2" xfId="1" xr:uid="{44EE900A-2351-8244-98EC-85E0FB235EC8}"/>
    <cellStyle name="Per cent" xfId="2" builtinId="5"/>
  </cellStyles>
  <dxfs count="96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C6F0CE"/>
      <color rgb="FFC6F1CF"/>
      <color rgb="FFFFC7CE"/>
      <color rgb="FF00FDFF"/>
      <color rgb="FFEAAD8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'Monthly Inventory'!$U$53</c:f>
              <c:strCache>
                <c:ptCount val="1"/>
                <c:pt idx="0">
                  <c:v>Naming Inventory (In Mandays)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'Monthly Inventory'!$T$54:$T$86</c:f>
              <c:strCache>
                <c:ptCount val="33"/>
                <c:pt idx="0">
                  <c:v>Sep'26</c:v>
                </c:pt>
                <c:pt idx="1">
                  <c:v>Oct'26</c:v>
                </c:pt>
                <c:pt idx="2">
                  <c:v>Nov'26</c:v>
                </c:pt>
                <c:pt idx="3">
                  <c:v>Dec'26</c:v>
                </c:pt>
                <c:pt idx="4">
                  <c:v>Jan'27</c:v>
                </c:pt>
                <c:pt idx="5">
                  <c:v>Feb'27</c:v>
                </c:pt>
                <c:pt idx="6">
                  <c:v>Mar'27</c:v>
                </c:pt>
                <c:pt idx="7">
                  <c:v>Apr'27</c:v>
                </c:pt>
                <c:pt idx="8">
                  <c:v>May'27</c:v>
                </c:pt>
                <c:pt idx="9">
                  <c:v>Jun'27</c:v>
                </c:pt>
                <c:pt idx="10">
                  <c:v>Jul'27</c:v>
                </c:pt>
                <c:pt idx="11">
                  <c:v>Aug'27</c:v>
                </c:pt>
                <c:pt idx="12">
                  <c:v>Sep'27</c:v>
                </c:pt>
                <c:pt idx="13">
                  <c:v>Oct'27</c:v>
                </c:pt>
                <c:pt idx="14">
                  <c:v>Nov'27</c:v>
                </c:pt>
                <c:pt idx="15">
                  <c:v>Dec'27</c:v>
                </c:pt>
                <c:pt idx="16">
                  <c:v>Jan'28</c:v>
                </c:pt>
                <c:pt idx="17">
                  <c:v>Feb'28</c:v>
                </c:pt>
                <c:pt idx="18">
                  <c:v>Mar'28</c:v>
                </c:pt>
                <c:pt idx="19">
                  <c:v>Apr'28</c:v>
                </c:pt>
                <c:pt idx="20">
                  <c:v>May'28</c:v>
                </c:pt>
                <c:pt idx="21">
                  <c:v>Jun'28</c:v>
                </c:pt>
                <c:pt idx="22">
                  <c:v>Jul'28</c:v>
                </c:pt>
                <c:pt idx="23">
                  <c:v>Aug'28</c:v>
                </c:pt>
                <c:pt idx="24">
                  <c:v>Sep'28</c:v>
                </c:pt>
                <c:pt idx="25">
                  <c:v>Oct'28</c:v>
                </c:pt>
                <c:pt idx="26">
                  <c:v>Nov'28</c:v>
                </c:pt>
                <c:pt idx="27">
                  <c:v>Dec'28</c:v>
                </c:pt>
                <c:pt idx="28">
                  <c:v>Jan'29</c:v>
                </c:pt>
                <c:pt idx="29">
                  <c:v>Feb'29</c:v>
                </c:pt>
                <c:pt idx="30">
                  <c:v>Mar'29</c:v>
                </c:pt>
                <c:pt idx="31">
                  <c:v>Apr'29</c:v>
                </c:pt>
                <c:pt idx="32">
                  <c:v>May'29</c:v>
                </c:pt>
              </c:strCache>
            </c:strRef>
          </c:cat>
          <c:val>
            <c:numRef>
              <c:f>'Monthly Inventory'!$U$54:$U$86</c:f>
              <c:numCache>
                <c:formatCode>0</c:formatCode>
                <c:ptCount val="33"/>
                <c:pt idx="0">
                  <c:v>1802.6666666666667</c:v>
                </c:pt>
                <c:pt idx="1">
                  <c:v>1271.0666666666666</c:v>
                </c:pt>
                <c:pt idx="2">
                  <c:v>978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202.53333333333336</c:v>
                </c:pt>
                <c:pt idx="11">
                  <c:v>346.13333333333333</c:v>
                </c:pt>
                <c:pt idx="12">
                  <c:v>1701.3333333333335</c:v>
                </c:pt>
                <c:pt idx="13">
                  <c:v>1502</c:v>
                </c:pt>
                <c:pt idx="14">
                  <c:v>1202.1333333333332</c:v>
                </c:pt>
                <c:pt idx="15">
                  <c:v>412</c:v>
                </c:pt>
                <c:pt idx="16">
                  <c:v>968.26666666666665</c:v>
                </c:pt>
                <c:pt idx="17">
                  <c:v>1024.6666666666667</c:v>
                </c:pt>
                <c:pt idx="18">
                  <c:v>1262.9333333333334</c:v>
                </c:pt>
                <c:pt idx="19">
                  <c:v>1459.3333333333335</c:v>
                </c:pt>
                <c:pt idx="20">
                  <c:v>525.20000000000005</c:v>
                </c:pt>
                <c:pt idx="21">
                  <c:v>689.33333333333326</c:v>
                </c:pt>
                <c:pt idx="22">
                  <c:v>724.93333333333339</c:v>
                </c:pt>
                <c:pt idx="23">
                  <c:v>217.2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9AC-3449-BB85-EA061C8117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1034175"/>
        <c:axId val="1629035136"/>
      </c:lineChart>
      <c:catAx>
        <c:axId val="1410341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035136"/>
        <c:crosses val="autoZero"/>
        <c:auto val="1"/>
        <c:lblAlgn val="ctr"/>
        <c:lblOffset val="100"/>
        <c:noMultiLvlLbl val="0"/>
      </c:catAx>
      <c:valAx>
        <c:axId val="1629035136"/>
        <c:scaling>
          <c:orientation val="minMax"/>
        </c:scaling>
        <c:delete val="0"/>
        <c:axPos val="l"/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0341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'Monthly Inventory'!$V$53</c:f>
              <c:strCache>
                <c:ptCount val="1"/>
                <c:pt idx="0">
                  <c:v>DC2 Inventory (In Mandays)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'Monthly Inventory'!$T$54:$T$86</c:f>
              <c:strCache>
                <c:ptCount val="33"/>
                <c:pt idx="0">
                  <c:v>Sep'26</c:v>
                </c:pt>
                <c:pt idx="1">
                  <c:v>Oct'26</c:v>
                </c:pt>
                <c:pt idx="2">
                  <c:v>Nov'26</c:v>
                </c:pt>
                <c:pt idx="3">
                  <c:v>Dec'26</c:v>
                </c:pt>
                <c:pt idx="4">
                  <c:v>Jan'27</c:v>
                </c:pt>
                <c:pt idx="5">
                  <c:v>Feb'27</c:v>
                </c:pt>
                <c:pt idx="6">
                  <c:v>Mar'27</c:v>
                </c:pt>
                <c:pt idx="7">
                  <c:v>Apr'27</c:v>
                </c:pt>
                <c:pt idx="8">
                  <c:v>May'27</c:v>
                </c:pt>
                <c:pt idx="9">
                  <c:v>Jun'27</c:v>
                </c:pt>
                <c:pt idx="10">
                  <c:v>Jul'27</c:v>
                </c:pt>
                <c:pt idx="11">
                  <c:v>Aug'27</c:v>
                </c:pt>
                <c:pt idx="12">
                  <c:v>Sep'27</c:v>
                </c:pt>
                <c:pt idx="13">
                  <c:v>Oct'27</c:v>
                </c:pt>
                <c:pt idx="14">
                  <c:v>Nov'27</c:v>
                </c:pt>
                <c:pt idx="15">
                  <c:v>Dec'27</c:v>
                </c:pt>
                <c:pt idx="16">
                  <c:v>Jan'28</c:v>
                </c:pt>
                <c:pt idx="17">
                  <c:v>Feb'28</c:v>
                </c:pt>
                <c:pt idx="18">
                  <c:v>Mar'28</c:v>
                </c:pt>
                <c:pt idx="19">
                  <c:v>Apr'28</c:v>
                </c:pt>
                <c:pt idx="20">
                  <c:v>May'28</c:v>
                </c:pt>
                <c:pt idx="21">
                  <c:v>Jun'28</c:v>
                </c:pt>
                <c:pt idx="22">
                  <c:v>Jul'28</c:v>
                </c:pt>
                <c:pt idx="23">
                  <c:v>Aug'28</c:v>
                </c:pt>
                <c:pt idx="24">
                  <c:v>Sep'28</c:v>
                </c:pt>
                <c:pt idx="25">
                  <c:v>Oct'28</c:v>
                </c:pt>
                <c:pt idx="26">
                  <c:v>Nov'28</c:v>
                </c:pt>
                <c:pt idx="27">
                  <c:v>Dec'28</c:v>
                </c:pt>
                <c:pt idx="28">
                  <c:v>Jan'29</c:v>
                </c:pt>
                <c:pt idx="29">
                  <c:v>Feb'29</c:v>
                </c:pt>
                <c:pt idx="30">
                  <c:v>Mar'29</c:v>
                </c:pt>
                <c:pt idx="31">
                  <c:v>Apr'29</c:v>
                </c:pt>
                <c:pt idx="32">
                  <c:v>May'29</c:v>
                </c:pt>
              </c:strCache>
            </c:strRef>
          </c:cat>
          <c:val>
            <c:numRef>
              <c:f>'Monthly Inventory'!$V$54:$V$86</c:f>
              <c:numCache>
                <c:formatCode>0</c:formatCode>
                <c:ptCount val="33"/>
                <c:pt idx="0">
                  <c:v>7244.4000000000005</c:v>
                </c:pt>
                <c:pt idx="1">
                  <c:v>3627.7333333333336</c:v>
                </c:pt>
                <c:pt idx="2">
                  <c:v>3444.6666666666665</c:v>
                </c:pt>
                <c:pt idx="3">
                  <c:v>2709.2</c:v>
                </c:pt>
                <c:pt idx="4">
                  <c:v>4431.8666666666668</c:v>
                </c:pt>
                <c:pt idx="5">
                  <c:v>4189.2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81.066666666666663</c:v>
                </c:pt>
                <c:pt idx="15">
                  <c:v>138.26666666666668</c:v>
                </c:pt>
                <c:pt idx="16">
                  <c:v>679.4666666666667</c:v>
                </c:pt>
                <c:pt idx="17">
                  <c:v>255.2</c:v>
                </c:pt>
                <c:pt idx="18">
                  <c:v>345.33333333333337</c:v>
                </c:pt>
                <c:pt idx="19">
                  <c:v>480.5333333333333</c:v>
                </c:pt>
                <c:pt idx="20">
                  <c:v>551.6</c:v>
                </c:pt>
                <c:pt idx="21">
                  <c:v>671.73333333333335</c:v>
                </c:pt>
                <c:pt idx="22">
                  <c:v>710.8</c:v>
                </c:pt>
                <c:pt idx="23">
                  <c:v>717.73333333333323</c:v>
                </c:pt>
                <c:pt idx="24">
                  <c:v>1607.7333333333336</c:v>
                </c:pt>
                <c:pt idx="25">
                  <c:v>1385.6</c:v>
                </c:pt>
                <c:pt idx="26">
                  <c:v>529.06666666666661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DA9-B84A-BE24-8672F851BC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1034175"/>
        <c:axId val="1629035136"/>
      </c:lineChart>
      <c:catAx>
        <c:axId val="1410341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035136"/>
        <c:crosses val="autoZero"/>
        <c:auto val="1"/>
        <c:lblAlgn val="ctr"/>
        <c:lblOffset val="100"/>
        <c:noMultiLvlLbl val="0"/>
      </c:catAx>
      <c:valAx>
        <c:axId val="1629035136"/>
        <c:scaling>
          <c:orientation val="minMax"/>
        </c:scaling>
        <c:delete val="0"/>
        <c:axPos val="l"/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0341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'Monthly Inventory'!$AA$53</c:f>
              <c:strCache>
                <c:ptCount val="1"/>
                <c:pt idx="0">
                  <c:v>Naming KM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'Monthly Inventory'!$Z$54:$Z$86</c:f>
              <c:strCache>
                <c:ptCount val="33"/>
                <c:pt idx="0">
                  <c:v>Sep'26</c:v>
                </c:pt>
                <c:pt idx="1">
                  <c:v>Oct'26</c:v>
                </c:pt>
                <c:pt idx="2">
                  <c:v>Nov'26</c:v>
                </c:pt>
                <c:pt idx="3">
                  <c:v>Dec'26</c:v>
                </c:pt>
                <c:pt idx="4">
                  <c:v>Jan'27</c:v>
                </c:pt>
                <c:pt idx="5">
                  <c:v>Feb'27</c:v>
                </c:pt>
                <c:pt idx="6">
                  <c:v>Mar'27</c:v>
                </c:pt>
                <c:pt idx="7">
                  <c:v>Apr'27</c:v>
                </c:pt>
                <c:pt idx="8">
                  <c:v>May'27</c:v>
                </c:pt>
                <c:pt idx="9">
                  <c:v>Jun'27</c:v>
                </c:pt>
                <c:pt idx="10">
                  <c:v>Jul'27</c:v>
                </c:pt>
                <c:pt idx="11">
                  <c:v>Aug'27</c:v>
                </c:pt>
                <c:pt idx="12">
                  <c:v>Sep'27</c:v>
                </c:pt>
                <c:pt idx="13">
                  <c:v>Oct'27</c:v>
                </c:pt>
                <c:pt idx="14">
                  <c:v>Nov'27</c:v>
                </c:pt>
                <c:pt idx="15">
                  <c:v>Dec'27</c:v>
                </c:pt>
                <c:pt idx="16">
                  <c:v>Jan'28</c:v>
                </c:pt>
                <c:pt idx="17">
                  <c:v>Feb'28</c:v>
                </c:pt>
                <c:pt idx="18">
                  <c:v>Mar'28</c:v>
                </c:pt>
                <c:pt idx="19">
                  <c:v>Apr'28</c:v>
                </c:pt>
                <c:pt idx="20">
                  <c:v>May'28</c:v>
                </c:pt>
                <c:pt idx="21">
                  <c:v>Jun'28</c:v>
                </c:pt>
                <c:pt idx="22">
                  <c:v>Jul'28</c:v>
                </c:pt>
                <c:pt idx="23">
                  <c:v>Aug'28</c:v>
                </c:pt>
                <c:pt idx="24">
                  <c:v>Sep'28</c:v>
                </c:pt>
                <c:pt idx="25">
                  <c:v>Oct'28</c:v>
                </c:pt>
                <c:pt idx="26">
                  <c:v>Nov'28</c:v>
                </c:pt>
                <c:pt idx="27">
                  <c:v>Dec'28</c:v>
                </c:pt>
                <c:pt idx="28">
                  <c:v>Jan'29</c:v>
                </c:pt>
                <c:pt idx="29">
                  <c:v>Feb'29</c:v>
                </c:pt>
                <c:pt idx="30">
                  <c:v>Mar'29</c:v>
                </c:pt>
                <c:pt idx="31">
                  <c:v>Apr'29</c:v>
                </c:pt>
                <c:pt idx="32">
                  <c:v>May'29</c:v>
                </c:pt>
              </c:strCache>
            </c:strRef>
          </c:cat>
          <c:val>
            <c:numRef>
              <c:f>'Monthly Inventory'!$AA$54:$AA$86</c:f>
              <c:numCache>
                <c:formatCode>#,##0</c:formatCode>
                <c:ptCount val="33"/>
                <c:pt idx="0">
                  <c:v>22372</c:v>
                </c:pt>
                <c:pt idx="1">
                  <c:v>28875</c:v>
                </c:pt>
                <c:pt idx="2">
                  <c:v>16540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7632.6118910981922</c:v>
                </c:pt>
                <c:pt idx="11">
                  <c:v>11419.855856456121</c:v>
                </c:pt>
                <c:pt idx="12">
                  <c:v>59071.126766442438</c:v>
                </c:pt>
                <c:pt idx="13">
                  <c:v>54422.15072201861</c:v>
                </c:pt>
                <c:pt idx="14">
                  <c:v>24712.148954007811</c:v>
                </c:pt>
                <c:pt idx="15">
                  <c:v>13092.84165088862</c:v>
                </c:pt>
                <c:pt idx="16">
                  <c:v>20783.999792175164</c:v>
                </c:pt>
                <c:pt idx="17">
                  <c:v>20863.356505148582</c:v>
                </c:pt>
                <c:pt idx="18">
                  <c:v>26899.011323439754</c:v>
                </c:pt>
                <c:pt idx="19">
                  <c:v>56328.707900137531</c:v>
                </c:pt>
                <c:pt idx="20">
                  <c:v>46875.510321995767</c:v>
                </c:pt>
                <c:pt idx="21">
                  <c:v>26455.699688264998</c:v>
                </c:pt>
                <c:pt idx="22">
                  <c:v>54059.735881641609</c:v>
                </c:pt>
                <c:pt idx="23">
                  <c:v>27383.242746284857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283-AE49-BF56-79E1F28FE2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1034175"/>
        <c:axId val="1629035136"/>
      </c:lineChart>
      <c:catAx>
        <c:axId val="1410341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035136"/>
        <c:crosses val="autoZero"/>
        <c:auto val="1"/>
        <c:lblAlgn val="ctr"/>
        <c:lblOffset val="100"/>
        <c:noMultiLvlLbl val="0"/>
      </c:catAx>
      <c:valAx>
        <c:axId val="1629035136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0341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'Monthly Inventory'!$AB$53</c:f>
              <c:strCache>
                <c:ptCount val="1"/>
                <c:pt idx="0">
                  <c:v>DC2 KM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'Monthly Inventory'!$Z$54:$Z$86</c:f>
              <c:strCache>
                <c:ptCount val="33"/>
                <c:pt idx="0">
                  <c:v>Sep'26</c:v>
                </c:pt>
                <c:pt idx="1">
                  <c:v>Oct'26</c:v>
                </c:pt>
                <c:pt idx="2">
                  <c:v>Nov'26</c:v>
                </c:pt>
                <c:pt idx="3">
                  <c:v>Dec'26</c:v>
                </c:pt>
                <c:pt idx="4">
                  <c:v>Jan'27</c:v>
                </c:pt>
                <c:pt idx="5">
                  <c:v>Feb'27</c:v>
                </c:pt>
                <c:pt idx="6">
                  <c:v>Mar'27</c:v>
                </c:pt>
                <c:pt idx="7">
                  <c:v>Apr'27</c:v>
                </c:pt>
                <c:pt idx="8">
                  <c:v>May'27</c:v>
                </c:pt>
                <c:pt idx="9">
                  <c:v>Jun'27</c:v>
                </c:pt>
                <c:pt idx="10">
                  <c:v>Jul'27</c:v>
                </c:pt>
                <c:pt idx="11">
                  <c:v>Aug'27</c:v>
                </c:pt>
                <c:pt idx="12">
                  <c:v>Sep'27</c:v>
                </c:pt>
                <c:pt idx="13">
                  <c:v>Oct'27</c:v>
                </c:pt>
                <c:pt idx="14">
                  <c:v>Nov'27</c:v>
                </c:pt>
                <c:pt idx="15">
                  <c:v>Dec'27</c:v>
                </c:pt>
                <c:pt idx="16">
                  <c:v>Jan'28</c:v>
                </c:pt>
                <c:pt idx="17">
                  <c:v>Feb'28</c:v>
                </c:pt>
                <c:pt idx="18">
                  <c:v>Mar'28</c:v>
                </c:pt>
                <c:pt idx="19">
                  <c:v>Apr'28</c:v>
                </c:pt>
                <c:pt idx="20">
                  <c:v>May'28</c:v>
                </c:pt>
                <c:pt idx="21">
                  <c:v>Jun'28</c:v>
                </c:pt>
                <c:pt idx="22">
                  <c:v>Jul'28</c:v>
                </c:pt>
                <c:pt idx="23">
                  <c:v>Aug'28</c:v>
                </c:pt>
                <c:pt idx="24">
                  <c:v>Sep'28</c:v>
                </c:pt>
                <c:pt idx="25">
                  <c:v>Oct'28</c:v>
                </c:pt>
                <c:pt idx="26">
                  <c:v>Nov'28</c:v>
                </c:pt>
                <c:pt idx="27">
                  <c:v>Dec'28</c:v>
                </c:pt>
                <c:pt idx="28">
                  <c:v>Jan'29</c:v>
                </c:pt>
                <c:pt idx="29">
                  <c:v>Feb'29</c:v>
                </c:pt>
                <c:pt idx="30">
                  <c:v>Mar'29</c:v>
                </c:pt>
                <c:pt idx="31">
                  <c:v>Apr'29</c:v>
                </c:pt>
                <c:pt idx="32">
                  <c:v>May'29</c:v>
                </c:pt>
              </c:strCache>
            </c:strRef>
          </c:cat>
          <c:val>
            <c:numRef>
              <c:f>'Monthly Inventory'!$AB$54:$AB$86</c:f>
              <c:numCache>
                <c:formatCode>#,##0</c:formatCode>
                <c:ptCount val="33"/>
                <c:pt idx="0">
                  <c:v>49169</c:v>
                </c:pt>
                <c:pt idx="1">
                  <c:v>80886</c:v>
                </c:pt>
                <c:pt idx="2">
                  <c:v>46050</c:v>
                </c:pt>
                <c:pt idx="3">
                  <c:v>45692</c:v>
                </c:pt>
                <c:pt idx="4">
                  <c:v>62185</c:v>
                </c:pt>
                <c:pt idx="5">
                  <c:v>70965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7632.6118910981922</c:v>
                </c:pt>
                <c:pt idx="15">
                  <c:v>11419.855856456121</c:v>
                </c:pt>
                <c:pt idx="16">
                  <c:v>59071.126766442438</c:v>
                </c:pt>
                <c:pt idx="17">
                  <c:v>43358.096454011815</c:v>
                </c:pt>
                <c:pt idx="18">
                  <c:v>11064.054268006799</c:v>
                </c:pt>
                <c:pt idx="19">
                  <c:v>24712.148954007811</c:v>
                </c:pt>
                <c:pt idx="20">
                  <c:v>33876.841443063786</c:v>
                </c:pt>
                <c:pt idx="21">
                  <c:v>30356.918645746802</c:v>
                </c:pt>
                <c:pt idx="22">
                  <c:v>56502.932637714126</c:v>
                </c:pt>
                <c:pt idx="23">
                  <c:v>55161.087340184975</c:v>
                </c:pt>
                <c:pt idx="24">
                  <c:v>35401.347115340715</c:v>
                </c:pt>
                <c:pt idx="25">
                  <c:v>49218.898162408004</c:v>
                </c:pt>
                <c:pt idx="26">
                  <c:v>32224.080465518466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FB7-1449-BB9B-327CF129A1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1034175"/>
        <c:axId val="1629035136"/>
      </c:lineChart>
      <c:catAx>
        <c:axId val="1410341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035136"/>
        <c:crosses val="autoZero"/>
        <c:auto val="1"/>
        <c:lblAlgn val="ctr"/>
        <c:lblOffset val="100"/>
        <c:noMultiLvlLbl val="0"/>
      </c:catAx>
      <c:valAx>
        <c:axId val="1629035136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0341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19</xdr:col>
      <xdr:colOff>0</xdr:colOff>
      <xdr:row>12</xdr:row>
      <xdr:rowOff>12700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D447723-938F-474D-BBC4-516D6FD1C2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20</xdr:col>
      <xdr:colOff>0</xdr:colOff>
      <xdr:row>1</xdr:row>
      <xdr:rowOff>0</xdr:rowOff>
    </xdr:from>
    <xdr:to>
      <xdr:col>38</xdr:col>
      <xdr:colOff>0</xdr:colOff>
      <xdr:row>12</xdr:row>
      <xdr:rowOff>12700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AFBB488C-51C0-6C46-96D3-45D77C01EDE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199571</xdr:colOff>
      <xdr:row>14</xdr:row>
      <xdr:rowOff>0</xdr:rowOff>
    </xdr:from>
    <xdr:to>
      <xdr:col>19</xdr:col>
      <xdr:colOff>0</xdr:colOff>
      <xdr:row>25</xdr:row>
      <xdr:rowOff>12700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E6ADE23D-FEDB-4D47-9F2C-4F2B3C458B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19</xdr:col>
      <xdr:colOff>508001</xdr:colOff>
      <xdr:row>13</xdr:row>
      <xdr:rowOff>179918</xdr:rowOff>
    </xdr:from>
    <xdr:to>
      <xdr:col>37</xdr:col>
      <xdr:colOff>508001</xdr:colOff>
      <xdr:row>24</xdr:row>
      <xdr:rowOff>192617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455D7849-7C4E-B34C-A4AC-40A84E2AB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../Library/Containers/com.apple.mail/Data/Library/Mail%20Downloads/8C4D6C5F-9711-494B-B559-9459C68505CE/LTP_18-Aug-25.xlsx" TargetMode="External"/><Relationship Id="rId2" Type="http://schemas.openxmlformats.org/officeDocument/2006/relationships/externalLinkPath" Target="/Users/gopikrishnar/Library/Containers/com.apple.mail/Data/Library/Mail%20Downloads/8C4D6C5F-9711-494B-B559-9459C68505CE/LTP_18-Aug-25.xlsx" TargetMode="External"/><Relationship Id="rId1" Type="http://schemas.openxmlformats.org/officeDocument/2006/relationships/externalLinkPath" Target="/Users/gopikrishnar/Library/Containers/com.apple.mail/Data/Library/Mail%20Downloads/8C4D6C5F-9711-494B-B559-9459C68505CE/LTP_18-Aug-25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../../shivkumarmankar/Documents/LTP/LTP%2024%20Mar'25/LTP_24-Mar-2025.xlsx" TargetMode="External"/><Relationship Id="rId2" Type="http://schemas.openxmlformats.org/officeDocument/2006/relationships/externalLinkPath" Target="/Users/shivkumarmankar/Documents/LTP/LTP%2024%20Mar'25/LTP_24-Mar-2025.xlsx" TargetMode="External"/><Relationship Id="rId1" Type="http://schemas.openxmlformats.org/officeDocument/2006/relationships/externalLinkPath" Target="/Users/shivkumarmankar/Documents/LTP/LTP%2024%20Mar'25/LTP_24-Mar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Country End date"/>
      <sheetName val="Variance in LTP vs LTP"/>
      <sheetName val="Gap"/>
      <sheetName val="Variance_Completed"/>
      <sheetName val="LTP 18-Aug-25"/>
      <sheetName val="Completed Regions"/>
      <sheetName val="Demand vs Supply"/>
      <sheetName val="Monthly Inventory (1)"/>
      <sheetName val="Wave wise Effort (1)"/>
      <sheetName val="Monthly Inventory (2)"/>
      <sheetName val="Demand vs Supply_V2"/>
      <sheetName val="Wave wise Effort (2)"/>
      <sheetName val="Inventory"/>
      <sheetName val="HC Distribution"/>
      <sheetName val="Churned-up Effort"/>
      <sheetName val="Monthly supply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LTP_24-Mar-2025"/>
      <sheetName val="Gap"/>
      <sheetName val="Completed Regions"/>
      <sheetName val="Country End date"/>
      <sheetName val="Variance - Addressing End dates"/>
      <sheetName val="Variance_Completed"/>
      <sheetName val="Demand vs Supply (ORG)"/>
      <sheetName val="Mitigation Plan"/>
      <sheetName val="Inventory"/>
      <sheetName val="Monthly Inventory"/>
      <sheetName val="Wave wise Effort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9332F2-002D-B240-9933-9C45E9BBDE4A}">
  <sheetPr codeName="Sheet2"/>
  <dimension ref="A1:CS72"/>
  <sheetViews>
    <sheetView zoomScale="110" zoomScaleNormal="110" zoomScaleSheetLayoutView="30" workbookViewId="0">
      <pane xSplit="4" ySplit="2" topLeftCell="K3" activePane="bottomRight" state="frozen"/>
      <selection activeCell="B2" sqref="B2:B3"/>
      <selection pane="topRight" activeCell="B2" sqref="B2:B3"/>
      <selection pane="bottomLeft" activeCell="B2" sqref="B2:B3"/>
      <selection pane="bottomRight" activeCell="A2" sqref="A2"/>
    </sheetView>
  </sheetViews>
  <sheetFormatPr baseColWidth="10" defaultColWidth="12.1640625" defaultRowHeight="19" customHeight="1" outlineLevelCol="1"/>
  <cols>
    <col min="1" max="1" width="18.5" style="4" customWidth="1"/>
    <col min="2" max="2" width="12.33203125" style="4" customWidth="1"/>
    <col min="3" max="3" width="15" style="4" customWidth="1"/>
    <col min="4" max="4" width="24.83203125" style="4" customWidth="1"/>
    <col min="5" max="5" width="12" style="16" hidden="1" customWidth="1" outlineLevel="1"/>
    <col min="6" max="6" width="10.33203125" style="16" hidden="1" customWidth="1" outlineLevel="1"/>
    <col min="7" max="7" width="8.1640625" style="16" hidden="1" customWidth="1" outlineLevel="1"/>
    <col min="8" max="8" width="8" style="16" hidden="1" customWidth="1" outlineLevel="1"/>
    <col min="9" max="9" width="7.33203125" style="16" hidden="1" customWidth="1" outlineLevel="1"/>
    <col min="10" max="10" width="8.6640625" style="16" hidden="1" customWidth="1" outlineLevel="1"/>
    <col min="11" max="11" width="11.6640625" style="22" customWidth="1" collapsed="1"/>
    <col min="12" max="17" width="11.6640625" style="4" customWidth="1"/>
    <col min="18" max="18" width="11.6640625" style="22" customWidth="1"/>
    <col min="19" max="19" width="11.6640625" style="4" customWidth="1"/>
    <col min="20" max="21" width="11.6640625" style="23" customWidth="1"/>
    <col min="22" max="22" width="3" style="16" customWidth="1"/>
    <col min="23" max="30" width="12.1640625" style="16" hidden="1" customWidth="1" outlineLevel="1"/>
    <col min="31" max="31" width="12.1640625" hidden="1" customWidth="1" outlineLevel="1"/>
    <col min="32" max="33" width="12.1640625" style="16" hidden="1" customWidth="1" outlineLevel="1"/>
    <col min="34" max="34" width="12.1640625" style="16" customWidth="1" collapsed="1"/>
    <col min="35" max="35" width="15.5" style="16" hidden="1" customWidth="1" outlineLevel="1"/>
    <col min="36" max="50" width="12.1640625" style="16" hidden="1" customWidth="1" outlineLevel="1"/>
    <col min="51" max="51" width="12.1640625" style="16" customWidth="1" collapsed="1"/>
    <col min="52" max="53" width="12.1640625" style="16" hidden="1" customWidth="1" outlineLevel="1"/>
    <col min="54" max="54" width="12.1640625" customWidth="1" collapsed="1"/>
    <col min="55" max="57" width="12.1640625" style="16" customWidth="1"/>
    <col min="58" max="58" width="10.5" style="16" customWidth="1"/>
    <col min="59" max="59" width="2.6640625" style="16" customWidth="1"/>
    <col min="60" max="70" width="12.1640625" style="16" customWidth="1" outlineLevel="1"/>
    <col min="71" max="71" width="2.6640625" style="16" customWidth="1" outlineLevel="1"/>
    <col min="72" max="16384" width="12.1640625" style="16"/>
  </cols>
  <sheetData>
    <row r="1" spans="1:97" ht="19" customHeight="1">
      <c r="A1" s="322"/>
      <c r="B1" s="322"/>
      <c r="C1" s="322"/>
      <c r="D1" s="322"/>
      <c r="E1" s="147"/>
      <c r="F1" s="147"/>
      <c r="G1" s="321" t="s">
        <v>575</v>
      </c>
      <c r="H1" s="321"/>
      <c r="I1" s="321"/>
      <c r="J1" s="321"/>
      <c r="K1" s="318" t="s">
        <v>621</v>
      </c>
      <c r="L1" s="319"/>
      <c r="M1" s="319"/>
      <c r="N1" s="319"/>
      <c r="O1" s="319"/>
      <c r="P1" s="319"/>
      <c r="Q1" s="319"/>
      <c r="R1" s="319"/>
      <c r="S1" s="319"/>
      <c r="T1" s="319"/>
      <c r="U1" s="320"/>
      <c r="V1" s="5"/>
      <c r="W1" s="318" t="s">
        <v>617</v>
      </c>
      <c r="X1" s="319"/>
      <c r="Y1" s="319"/>
      <c r="Z1" s="319"/>
      <c r="AA1" s="319"/>
      <c r="AB1" s="319"/>
      <c r="AC1" s="319"/>
      <c r="AD1" s="319"/>
      <c r="AE1" s="319"/>
      <c r="AF1" s="319"/>
      <c r="AG1" s="320"/>
      <c r="BG1" s="5"/>
      <c r="BH1" s="148" t="s">
        <v>363</v>
      </c>
      <c r="BI1" s="149"/>
      <c r="BJ1" s="149"/>
      <c r="BK1" s="149"/>
      <c r="BL1" s="149"/>
      <c r="BM1" s="149"/>
      <c r="BN1" s="149"/>
      <c r="BO1" s="149"/>
      <c r="BP1" s="149"/>
      <c r="BQ1" s="149"/>
      <c r="BR1" s="150"/>
      <c r="BS1" s="5"/>
    </row>
    <row r="2" spans="1:97" s="17" customFormat="1" ht="28">
      <c r="A2" s="5" t="s">
        <v>568</v>
      </c>
      <c r="B2" s="5" t="s">
        <v>8</v>
      </c>
      <c r="C2" s="5" t="s">
        <v>0</v>
      </c>
      <c r="D2" s="5" t="s">
        <v>1</v>
      </c>
      <c r="E2" s="5" t="s">
        <v>23</v>
      </c>
      <c r="F2" s="5" t="s">
        <v>220</v>
      </c>
      <c r="G2" s="5" t="s">
        <v>226</v>
      </c>
      <c r="H2" s="5" t="s">
        <v>164</v>
      </c>
      <c r="I2" s="5" t="s">
        <v>165</v>
      </c>
      <c r="J2" s="5" t="s">
        <v>166</v>
      </c>
      <c r="K2" s="151" t="s">
        <v>278</v>
      </c>
      <c r="L2" s="5" t="s">
        <v>224</v>
      </c>
      <c r="M2" s="5" t="s">
        <v>225</v>
      </c>
      <c r="N2" s="5" t="s">
        <v>12</v>
      </c>
      <c r="O2" s="5" t="s">
        <v>2</v>
      </c>
      <c r="P2" s="5" t="s">
        <v>3</v>
      </c>
      <c r="Q2" s="5" t="s">
        <v>4</v>
      </c>
      <c r="R2" s="151" t="s">
        <v>10</v>
      </c>
      <c r="S2" s="5" t="s">
        <v>11</v>
      </c>
      <c r="T2" s="5" t="s">
        <v>5</v>
      </c>
      <c r="U2" s="5" t="s">
        <v>6</v>
      </c>
      <c r="V2" s="5"/>
      <c r="W2" s="151" t="s">
        <v>278</v>
      </c>
      <c r="X2" s="5" t="s">
        <v>224</v>
      </c>
      <c r="Y2" s="5" t="s">
        <v>225</v>
      </c>
      <c r="Z2" s="5" t="s">
        <v>12</v>
      </c>
      <c r="AA2" s="5" t="s">
        <v>2</v>
      </c>
      <c r="AB2" s="5" t="s">
        <v>3</v>
      </c>
      <c r="AC2" s="5" t="s">
        <v>4</v>
      </c>
      <c r="AD2" s="151" t="s">
        <v>10</v>
      </c>
      <c r="AE2" s="5" t="s">
        <v>11</v>
      </c>
      <c r="AF2" s="5" t="s">
        <v>5</v>
      </c>
      <c r="AG2" s="5" t="s">
        <v>6</v>
      </c>
      <c r="AH2" s="16"/>
      <c r="AI2" s="16"/>
      <c r="AJ2" s="16"/>
      <c r="AK2" s="16"/>
      <c r="AL2" s="16"/>
      <c r="AM2" s="16"/>
      <c r="AN2" s="16"/>
      <c r="AO2" s="16"/>
      <c r="AP2" s="16"/>
      <c r="AQ2" s="16"/>
      <c r="AR2" s="16"/>
      <c r="AS2" s="16"/>
      <c r="AT2" s="16"/>
      <c r="AU2" s="16"/>
      <c r="AV2" s="16"/>
      <c r="AW2" s="16"/>
      <c r="AX2" s="16"/>
      <c r="AY2" s="16"/>
      <c r="AZ2" s="152" t="s">
        <v>297</v>
      </c>
      <c r="BG2" s="5"/>
      <c r="BH2" s="151" t="s">
        <v>278</v>
      </c>
      <c r="BI2" s="5" t="s">
        <v>224</v>
      </c>
      <c r="BJ2" s="5" t="s">
        <v>225</v>
      </c>
      <c r="BK2" s="5" t="s">
        <v>12</v>
      </c>
      <c r="BL2" s="5" t="s">
        <v>2</v>
      </c>
      <c r="BM2" s="5" t="s">
        <v>3</v>
      </c>
      <c r="BN2" s="5" t="s">
        <v>4</v>
      </c>
      <c r="BO2" s="151" t="s">
        <v>10</v>
      </c>
      <c r="BP2" s="5" t="s">
        <v>11</v>
      </c>
      <c r="BQ2" s="5" t="s">
        <v>5</v>
      </c>
      <c r="BR2" s="5" t="s">
        <v>6</v>
      </c>
      <c r="BS2" s="5"/>
    </row>
    <row r="3" spans="1:97" ht="19" customHeight="1">
      <c r="A3" s="8" t="s">
        <v>199</v>
      </c>
      <c r="B3" s="81" t="s">
        <v>256</v>
      </c>
      <c r="C3" s="8" t="s">
        <v>38</v>
      </c>
      <c r="D3" s="8" t="s">
        <v>195</v>
      </c>
      <c r="E3" s="32">
        <v>34714</v>
      </c>
      <c r="F3" s="8" t="s">
        <v>228</v>
      </c>
      <c r="G3" s="257"/>
      <c r="H3" s="257"/>
      <c r="I3" s="257"/>
      <c r="J3" s="255">
        <v>100</v>
      </c>
      <c r="K3" s="20">
        <v>46022</v>
      </c>
      <c r="L3" s="19" t="s">
        <v>7</v>
      </c>
      <c r="M3" s="19" t="s">
        <v>7</v>
      </c>
      <c r="N3" s="20">
        <v>46028</v>
      </c>
      <c r="O3" s="20">
        <v>46031</v>
      </c>
      <c r="P3" s="20">
        <v>46032</v>
      </c>
      <c r="Q3" s="20">
        <v>46079</v>
      </c>
      <c r="R3" s="20">
        <v>46193</v>
      </c>
      <c r="S3" s="20" t="s">
        <v>222</v>
      </c>
      <c r="T3" s="198">
        <v>46195</v>
      </c>
      <c r="U3" s="198">
        <v>46288</v>
      </c>
      <c r="V3" s="191"/>
      <c r="W3" s="20">
        <v>46022</v>
      </c>
      <c r="X3" s="19" t="s">
        <v>7</v>
      </c>
      <c r="Y3" s="19" t="s">
        <v>7</v>
      </c>
      <c r="Z3" s="20">
        <v>46028</v>
      </c>
      <c r="AA3" s="20">
        <v>46031</v>
      </c>
      <c r="AB3" s="20">
        <v>46032</v>
      </c>
      <c r="AC3" s="20">
        <v>46079</v>
      </c>
      <c r="AD3" s="20">
        <v>46193</v>
      </c>
      <c r="AE3" s="20" t="s">
        <v>222</v>
      </c>
      <c r="AF3" s="198">
        <v>46195</v>
      </c>
      <c r="AG3" s="198">
        <v>46288</v>
      </c>
      <c r="AY3" s="17"/>
      <c r="AZ3" s="19">
        <v>46023</v>
      </c>
      <c r="BA3" s="17" t="s">
        <v>408</v>
      </c>
      <c r="BB3" s="17"/>
      <c r="BC3" s="17"/>
      <c r="BD3" s="17"/>
      <c r="BE3" s="17"/>
      <c r="BG3" s="5"/>
      <c r="BH3" s="134">
        <f t="shared" ref="BH3:BH4" si="0">IFERROR(K3-W3,"0")</f>
        <v>0</v>
      </c>
      <c r="BI3" s="134" t="str">
        <f t="shared" ref="BI3:BI4" si="1">IFERROR(L3-X3,"0")</f>
        <v>0</v>
      </c>
      <c r="BJ3" s="134" t="str">
        <f t="shared" ref="BJ3:BJ4" si="2">IFERROR(M3-Y3,"0")</f>
        <v>0</v>
      </c>
      <c r="BK3" s="134">
        <f t="shared" ref="BK3:BK4" si="3">IFERROR(N3-Z3,"0")</f>
        <v>0</v>
      </c>
      <c r="BL3" s="134">
        <f t="shared" ref="BL3:BL4" si="4">IFERROR(O3-AA3,"0")</f>
        <v>0</v>
      </c>
      <c r="BM3" s="134">
        <f t="shared" ref="BM3:BM4" si="5">IFERROR(P3-AB3,"0")</f>
        <v>0</v>
      </c>
      <c r="BN3" s="134">
        <f t="shared" ref="BN3:BN4" si="6">IFERROR(Q3-AC3,"0")</f>
        <v>0</v>
      </c>
      <c r="BO3" s="134">
        <f t="shared" ref="BO3:BO4" si="7">IFERROR(R3-AD3,"0")</f>
        <v>0</v>
      </c>
      <c r="BP3" s="134" t="str">
        <f t="shared" ref="BP3:BP4" si="8">IFERROR(S3-AE3,"0")</f>
        <v>0</v>
      </c>
      <c r="BQ3" s="134">
        <f t="shared" ref="BQ3:BQ4" si="9">IFERROR(T3-AF3,"0")</f>
        <v>0</v>
      </c>
      <c r="BR3" s="134">
        <f t="shared" ref="BR3:BR4" si="10">IFERROR(U3-AG3,"0")</f>
        <v>0</v>
      </c>
      <c r="BS3" s="5"/>
    </row>
    <row r="4" spans="1:97" ht="19" customHeight="1">
      <c r="A4" s="8" t="s">
        <v>199</v>
      </c>
      <c r="B4" s="81" t="s">
        <v>256</v>
      </c>
      <c r="C4" s="8" t="s">
        <v>40</v>
      </c>
      <c r="D4" s="8" t="s">
        <v>196</v>
      </c>
      <c r="E4" s="32">
        <v>23453</v>
      </c>
      <c r="F4" s="8" t="s">
        <v>228</v>
      </c>
      <c r="G4" s="257"/>
      <c r="H4" s="257"/>
      <c r="I4" s="257"/>
      <c r="J4" s="255">
        <v>8864</v>
      </c>
      <c r="K4" s="20">
        <v>46029</v>
      </c>
      <c r="L4" s="19" t="s">
        <v>7</v>
      </c>
      <c r="M4" s="19" t="s">
        <v>7</v>
      </c>
      <c r="N4" s="20">
        <v>46031</v>
      </c>
      <c r="O4" s="20">
        <v>46034</v>
      </c>
      <c r="P4" s="20">
        <v>46043</v>
      </c>
      <c r="Q4" s="20">
        <v>46064</v>
      </c>
      <c r="R4" s="20">
        <v>46243</v>
      </c>
      <c r="S4" s="20" t="s">
        <v>222</v>
      </c>
      <c r="T4" s="198">
        <v>46263</v>
      </c>
      <c r="U4" s="198">
        <v>46320</v>
      </c>
      <c r="V4" s="191"/>
      <c r="W4" s="20">
        <v>46029</v>
      </c>
      <c r="X4" s="19" t="s">
        <v>7</v>
      </c>
      <c r="Y4" s="19" t="s">
        <v>7</v>
      </c>
      <c r="Z4" s="20">
        <v>46031</v>
      </c>
      <c r="AA4" s="20">
        <v>46034</v>
      </c>
      <c r="AB4" s="20">
        <v>46043</v>
      </c>
      <c r="AC4" s="20">
        <v>46064</v>
      </c>
      <c r="AD4" s="20">
        <v>46243</v>
      </c>
      <c r="AE4" s="20" t="s">
        <v>222</v>
      </c>
      <c r="AF4" s="198">
        <v>46263</v>
      </c>
      <c r="AG4" s="198">
        <v>46320</v>
      </c>
      <c r="AY4" s="17"/>
      <c r="AZ4" s="19">
        <v>46036</v>
      </c>
      <c r="BA4" s="17" t="s">
        <v>408</v>
      </c>
      <c r="BB4" s="17"/>
      <c r="BC4" s="17"/>
      <c r="BD4" s="17"/>
      <c r="BE4" s="17"/>
      <c r="BG4" s="5"/>
      <c r="BH4" s="134">
        <f t="shared" si="0"/>
        <v>0</v>
      </c>
      <c r="BI4" s="134" t="str">
        <f t="shared" si="1"/>
        <v>0</v>
      </c>
      <c r="BJ4" s="134" t="str">
        <f t="shared" si="2"/>
        <v>0</v>
      </c>
      <c r="BK4" s="134">
        <f t="shared" si="3"/>
        <v>0</v>
      </c>
      <c r="BL4" s="134">
        <f t="shared" si="4"/>
        <v>0</v>
      </c>
      <c r="BM4" s="134">
        <f t="shared" si="5"/>
        <v>0</v>
      </c>
      <c r="BN4" s="134">
        <f t="shared" si="6"/>
        <v>0</v>
      </c>
      <c r="BO4" s="134">
        <f t="shared" si="7"/>
        <v>0</v>
      </c>
      <c r="BP4" s="134" t="str">
        <f t="shared" si="8"/>
        <v>0</v>
      </c>
      <c r="BQ4" s="134">
        <f t="shared" si="9"/>
        <v>0</v>
      </c>
      <c r="BR4" s="134">
        <f t="shared" si="10"/>
        <v>0</v>
      </c>
      <c r="BS4" s="5"/>
    </row>
    <row r="5" spans="1:97" ht="19" customHeight="1">
      <c r="A5" s="8" t="s">
        <v>199</v>
      </c>
      <c r="B5" s="81" t="s">
        <v>256</v>
      </c>
      <c r="C5" s="8" t="s">
        <v>41</v>
      </c>
      <c r="D5" s="8" t="s">
        <v>198</v>
      </c>
      <c r="E5" s="32">
        <v>23151</v>
      </c>
      <c r="F5" s="8" t="s">
        <v>228</v>
      </c>
      <c r="G5" s="257"/>
      <c r="H5" s="257"/>
      <c r="I5" s="257"/>
      <c r="J5" s="48">
        <v>14181</v>
      </c>
      <c r="K5" s="20">
        <v>46041</v>
      </c>
      <c r="L5" s="19" t="s">
        <v>7</v>
      </c>
      <c r="M5" s="19" t="s">
        <v>7</v>
      </c>
      <c r="N5" s="20">
        <v>46047</v>
      </c>
      <c r="O5" s="20">
        <v>46051</v>
      </c>
      <c r="P5" s="20">
        <v>46052</v>
      </c>
      <c r="Q5" s="20">
        <v>46081</v>
      </c>
      <c r="R5" s="20">
        <v>46271</v>
      </c>
      <c r="S5" s="20" t="s">
        <v>222</v>
      </c>
      <c r="T5" s="19">
        <v>46298</v>
      </c>
      <c r="U5" s="19">
        <v>46348</v>
      </c>
      <c r="V5" s="191"/>
      <c r="W5" s="20">
        <v>46041</v>
      </c>
      <c r="X5" s="19" t="s">
        <v>7</v>
      </c>
      <c r="Y5" s="19" t="s">
        <v>7</v>
      </c>
      <c r="Z5" s="20">
        <v>46047</v>
      </c>
      <c r="AA5" s="20">
        <v>46051</v>
      </c>
      <c r="AB5" s="20">
        <v>46052</v>
      </c>
      <c r="AC5" s="20">
        <v>46081</v>
      </c>
      <c r="AD5" s="20">
        <v>46271</v>
      </c>
      <c r="AE5" s="20" t="s">
        <v>222</v>
      </c>
      <c r="AF5" s="19">
        <v>46280</v>
      </c>
      <c r="AG5" s="19">
        <v>46348</v>
      </c>
      <c r="AJ5" s="250"/>
      <c r="AY5" s="17"/>
      <c r="AZ5" s="19">
        <v>46048</v>
      </c>
      <c r="BA5" s="17" t="s">
        <v>408</v>
      </c>
      <c r="BB5" s="17"/>
      <c r="BC5" s="17"/>
      <c r="BD5" s="17"/>
      <c r="BE5" s="17"/>
      <c r="BG5" s="5"/>
      <c r="BH5" s="134">
        <f t="shared" ref="BH5:BH23" si="11">IFERROR(K5-W5,"0")</f>
        <v>0</v>
      </c>
      <c r="BI5" s="134" t="str">
        <f t="shared" ref="BI5:BI23" si="12">IFERROR(L5-X5,"0")</f>
        <v>0</v>
      </c>
      <c r="BJ5" s="134" t="str">
        <f t="shared" ref="BJ5:BJ23" si="13">IFERROR(M5-Y5,"0")</f>
        <v>0</v>
      </c>
      <c r="BK5" s="134">
        <f t="shared" ref="BK5:BK23" si="14">IFERROR(N5-Z5,"0")</f>
        <v>0</v>
      </c>
      <c r="BL5" s="134">
        <f t="shared" ref="BL5:BL23" si="15">IFERROR(O5-AA5,"0")</f>
        <v>0</v>
      </c>
      <c r="BM5" s="134">
        <f t="shared" ref="BM5:BM23" si="16">IFERROR(P5-AB5,"0")</f>
        <v>0</v>
      </c>
      <c r="BN5" s="134">
        <f t="shared" ref="BN5:BN23" si="17">IFERROR(Q5-AC5,"0")</f>
        <v>0</v>
      </c>
      <c r="BO5" s="134">
        <f t="shared" ref="BO5:BO23" si="18">IFERROR(R5-AD5,"0")</f>
        <v>0</v>
      </c>
      <c r="BP5" s="134" t="str">
        <f t="shared" ref="BP5:BP23" si="19">IFERROR(S5-AE5,"0")</f>
        <v>0</v>
      </c>
      <c r="BQ5" s="134">
        <f t="shared" ref="BQ5:BQ23" si="20">IFERROR(T5-AF5,"0")</f>
        <v>18</v>
      </c>
      <c r="BR5" s="134">
        <f t="shared" ref="BR5:BR23" si="21">IFERROR(U5-AG5,"0")</f>
        <v>0</v>
      </c>
      <c r="BS5" s="5"/>
    </row>
    <row r="6" spans="1:97" ht="19" customHeight="1">
      <c r="A6" s="8" t="s">
        <v>199</v>
      </c>
      <c r="B6" s="81" t="s">
        <v>256</v>
      </c>
      <c r="C6" s="8" t="s">
        <v>39</v>
      </c>
      <c r="D6" s="8" t="s">
        <v>197</v>
      </c>
      <c r="E6" s="32">
        <v>26018</v>
      </c>
      <c r="F6" s="8" t="s">
        <v>228</v>
      </c>
      <c r="G6" s="257"/>
      <c r="H6" s="257"/>
      <c r="I6" s="257"/>
      <c r="J6" s="48">
        <v>14977</v>
      </c>
      <c r="K6" s="20">
        <v>46049</v>
      </c>
      <c r="L6" s="19" t="s">
        <v>7</v>
      </c>
      <c r="M6" s="19" t="s">
        <v>7</v>
      </c>
      <c r="N6" s="20">
        <v>46056</v>
      </c>
      <c r="O6" s="20">
        <v>46060</v>
      </c>
      <c r="P6" s="20">
        <v>46068</v>
      </c>
      <c r="Q6" s="20">
        <v>46093</v>
      </c>
      <c r="R6" s="20">
        <v>46283</v>
      </c>
      <c r="S6" s="20" t="s">
        <v>222</v>
      </c>
      <c r="T6" s="19">
        <v>46300</v>
      </c>
      <c r="U6" s="19">
        <v>46353</v>
      </c>
      <c r="V6" s="191"/>
      <c r="W6" s="20">
        <v>46049</v>
      </c>
      <c r="X6" s="19" t="s">
        <v>7</v>
      </c>
      <c r="Y6" s="19" t="s">
        <v>7</v>
      </c>
      <c r="Z6" s="20">
        <v>46056</v>
      </c>
      <c r="AA6" s="20">
        <v>46060</v>
      </c>
      <c r="AB6" s="20">
        <v>46068</v>
      </c>
      <c r="AC6" s="20">
        <v>46093</v>
      </c>
      <c r="AD6" s="198">
        <v>46283</v>
      </c>
      <c r="AE6" s="20" t="s">
        <v>222</v>
      </c>
      <c r="AF6" s="19">
        <v>46284</v>
      </c>
      <c r="AG6" s="19">
        <v>46353</v>
      </c>
      <c r="AJ6" s="250"/>
      <c r="AY6" s="17"/>
      <c r="AZ6" s="19">
        <v>46115</v>
      </c>
      <c r="BA6" s="17" t="s">
        <v>408</v>
      </c>
      <c r="BB6" s="17"/>
      <c r="BC6" s="17"/>
      <c r="BD6" s="17"/>
      <c r="BE6" s="17"/>
      <c r="BG6" s="5"/>
      <c r="BH6" s="134">
        <f t="shared" si="11"/>
        <v>0</v>
      </c>
      <c r="BI6" s="134" t="str">
        <f t="shared" si="12"/>
        <v>0</v>
      </c>
      <c r="BJ6" s="134" t="str">
        <f t="shared" si="13"/>
        <v>0</v>
      </c>
      <c r="BK6" s="134">
        <f t="shared" si="14"/>
        <v>0</v>
      </c>
      <c r="BL6" s="134">
        <f t="shared" si="15"/>
        <v>0</v>
      </c>
      <c r="BM6" s="134">
        <f t="shared" si="16"/>
        <v>0</v>
      </c>
      <c r="BN6" s="134">
        <f t="shared" si="17"/>
        <v>0</v>
      </c>
      <c r="BO6" s="134">
        <f t="shared" si="18"/>
        <v>0</v>
      </c>
      <c r="BP6" s="134" t="str">
        <f t="shared" si="19"/>
        <v>0</v>
      </c>
      <c r="BQ6" s="134">
        <f t="shared" si="20"/>
        <v>16</v>
      </c>
      <c r="BR6" s="134">
        <f t="shared" si="21"/>
        <v>0</v>
      </c>
      <c r="BS6" s="5"/>
    </row>
    <row r="7" spans="1:97" ht="19" customHeight="1">
      <c r="A7" s="8" t="s">
        <v>199</v>
      </c>
      <c r="B7" s="8" t="s">
        <v>257</v>
      </c>
      <c r="C7" s="8" t="s">
        <v>46</v>
      </c>
      <c r="D7" s="8" t="s">
        <v>191</v>
      </c>
      <c r="E7" s="32">
        <v>14299</v>
      </c>
      <c r="F7" s="8" t="s">
        <v>228</v>
      </c>
      <c r="G7" s="257"/>
      <c r="H7" s="257"/>
      <c r="I7" s="257"/>
      <c r="J7" s="255">
        <v>3816.1</v>
      </c>
      <c r="K7" s="20">
        <v>46051</v>
      </c>
      <c r="L7" s="19" t="s">
        <v>7</v>
      </c>
      <c r="M7" s="19" t="s">
        <v>7</v>
      </c>
      <c r="N7" s="20">
        <v>46059</v>
      </c>
      <c r="O7" s="20">
        <v>46072</v>
      </c>
      <c r="P7" s="20">
        <v>46081</v>
      </c>
      <c r="Q7" s="20">
        <v>46105</v>
      </c>
      <c r="R7" s="20">
        <v>46210</v>
      </c>
      <c r="S7" s="20" t="s">
        <v>222</v>
      </c>
      <c r="T7" s="262">
        <v>46245</v>
      </c>
      <c r="U7" s="263">
        <v>46293</v>
      </c>
      <c r="V7" s="191"/>
      <c r="W7" s="20">
        <v>46051</v>
      </c>
      <c r="X7" s="19" t="s">
        <v>7</v>
      </c>
      <c r="Y7" s="19" t="s">
        <v>7</v>
      </c>
      <c r="Z7" s="20">
        <v>46059</v>
      </c>
      <c r="AA7" s="20">
        <v>46072</v>
      </c>
      <c r="AB7" s="20">
        <v>46081</v>
      </c>
      <c r="AC7" s="20">
        <v>46105</v>
      </c>
      <c r="AD7" s="20">
        <v>46210</v>
      </c>
      <c r="AE7" s="20" t="s">
        <v>222</v>
      </c>
      <c r="AF7" s="262">
        <v>46245</v>
      </c>
      <c r="AG7" s="263">
        <v>46293</v>
      </c>
      <c r="AY7" s="17"/>
      <c r="AZ7" s="19">
        <v>46143</v>
      </c>
      <c r="BA7" s="17" t="s">
        <v>408</v>
      </c>
      <c r="BB7" s="17"/>
      <c r="BC7" s="17"/>
      <c r="BD7" s="17"/>
      <c r="BE7" s="17"/>
      <c r="BG7" s="5"/>
      <c r="BH7" s="134">
        <f t="shared" si="11"/>
        <v>0</v>
      </c>
      <c r="BI7" s="134" t="str">
        <f t="shared" si="12"/>
        <v>0</v>
      </c>
      <c r="BJ7" s="134" t="str">
        <f t="shared" si="13"/>
        <v>0</v>
      </c>
      <c r="BK7" s="134">
        <f t="shared" si="14"/>
        <v>0</v>
      </c>
      <c r="BL7" s="134">
        <f t="shared" si="15"/>
        <v>0</v>
      </c>
      <c r="BM7" s="134">
        <f t="shared" si="16"/>
        <v>0</v>
      </c>
      <c r="BN7" s="134">
        <f t="shared" si="17"/>
        <v>0</v>
      </c>
      <c r="BO7" s="134">
        <f t="shared" si="18"/>
        <v>0</v>
      </c>
      <c r="BP7" s="134" t="str">
        <f t="shared" si="19"/>
        <v>0</v>
      </c>
      <c r="BQ7" s="134">
        <f t="shared" si="20"/>
        <v>0</v>
      </c>
      <c r="BR7" s="134">
        <f t="shared" si="21"/>
        <v>0</v>
      </c>
      <c r="BS7" s="5"/>
      <c r="CJ7" s="235"/>
      <c r="CK7" s="235"/>
      <c r="CL7" s="235"/>
      <c r="CM7" s="235"/>
      <c r="CN7" s="235"/>
      <c r="CO7" s="235"/>
      <c r="CP7" s="235"/>
      <c r="CQ7" s="235"/>
      <c r="CR7" s="235"/>
      <c r="CS7" s="285"/>
    </row>
    <row r="8" spans="1:97" ht="19" customHeight="1">
      <c r="A8" s="8" t="s">
        <v>199</v>
      </c>
      <c r="B8" s="8" t="s">
        <v>257</v>
      </c>
      <c r="C8" s="8" t="s">
        <v>47</v>
      </c>
      <c r="D8" s="8" t="s">
        <v>192</v>
      </c>
      <c r="E8" s="32">
        <v>18163</v>
      </c>
      <c r="F8" s="8" t="s">
        <v>228</v>
      </c>
      <c r="G8" s="257"/>
      <c r="H8" s="257"/>
      <c r="I8" s="257"/>
      <c r="J8" s="255">
        <v>8329</v>
      </c>
      <c r="K8" s="20">
        <v>46053</v>
      </c>
      <c r="L8" s="19" t="s">
        <v>7</v>
      </c>
      <c r="M8" s="19" t="s">
        <v>7</v>
      </c>
      <c r="N8" s="20">
        <v>46072</v>
      </c>
      <c r="O8" s="20">
        <v>46074</v>
      </c>
      <c r="P8" s="20">
        <v>46082</v>
      </c>
      <c r="Q8" s="20">
        <v>46107</v>
      </c>
      <c r="R8" s="20">
        <v>46215</v>
      </c>
      <c r="S8" s="20" t="s">
        <v>222</v>
      </c>
      <c r="T8" s="262">
        <v>46222</v>
      </c>
      <c r="U8" s="263">
        <v>46307</v>
      </c>
      <c r="V8" s="191"/>
      <c r="W8" s="20">
        <v>46053</v>
      </c>
      <c r="X8" s="19" t="s">
        <v>7</v>
      </c>
      <c r="Y8" s="19" t="s">
        <v>7</v>
      </c>
      <c r="Z8" s="20">
        <v>46072</v>
      </c>
      <c r="AA8" s="20">
        <v>46074</v>
      </c>
      <c r="AB8" s="20">
        <v>46082</v>
      </c>
      <c r="AC8" s="20">
        <v>46107</v>
      </c>
      <c r="AD8" s="20">
        <v>46215</v>
      </c>
      <c r="AE8" s="20" t="s">
        <v>222</v>
      </c>
      <c r="AF8" s="262">
        <v>46222</v>
      </c>
      <c r="AG8" s="263">
        <v>46307</v>
      </c>
      <c r="AY8" s="17"/>
      <c r="AZ8" s="19">
        <v>46169</v>
      </c>
      <c r="BA8" s="17" t="s">
        <v>408</v>
      </c>
      <c r="BB8" s="17"/>
      <c r="BC8" s="17"/>
      <c r="BD8" s="17"/>
      <c r="BE8" s="17"/>
      <c r="BG8" s="5"/>
      <c r="BH8" s="134">
        <f t="shared" si="11"/>
        <v>0</v>
      </c>
      <c r="BI8" s="134" t="str">
        <f t="shared" si="12"/>
        <v>0</v>
      </c>
      <c r="BJ8" s="134" t="str">
        <f t="shared" si="13"/>
        <v>0</v>
      </c>
      <c r="BK8" s="134">
        <f t="shared" si="14"/>
        <v>0</v>
      </c>
      <c r="BL8" s="134">
        <f t="shared" si="15"/>
        <v>0</v>
      </c>
      <c r="BM8" s="134">
        <f t="shared" si="16"/>
        <v>0</v>
      </c>
      <c r="BN8" s="134">
        <f t="shared" si="17"/>
        <v>0</v>
      </c>
      <c r="BO8" s="134">
        <f t="shared" si="18"/>
        <v>0</v>
      </c>
      <c r="BP8" s="134" t="str">
        <f t="shared" si="19"/>
        <v>0</v>
      </c>
      <c r="BQ8" s="134">
        <f t="shared" si="20"/>
        <v>0</v>
      </c>
      <c r="BR8" s="134">
        <f t="shared" si="21"/>
        <v>0</v>
      </c>
      <c r="BS8" s="5"/>
      <c r="CJ8" s="235"/>
      <c r="CK8" s="235"/>
      <c r="CL8" s="235"/>
      <c r="CM8" s="235"/>
      <c r="CN8" s="235"/>
      <c r="CO8" s="235"/>
      <c r="CP8" s="235"/>
      <c r="CQ8" s="235"/>
      <c r="CR8" s="235"/>
      <c r="CS8" s="285"/>
    </row>
    <row r="9" spans="1:97" ht="19" customHeight="1">
      <c r="A9" s="8" t="s">
        <v>199</v>
      </c>
      <c r="B9" s="8" t="s">
        <v>257</v>
      </c>
      <c r="C9" s="8" t="s">
        <v>48</v>
      </c>
      <c r="D9" s="8" t="s">
        <v>193</v>
      </c>
      <c r="E9" s="32">
        <v>7469</v>
      </c>
      <c r="F9" s="8" t="s">
        <v>228</v>
      </c>
      <c r="G9" s="257"/>
      <c r="H9" s="257"/>
      <c r="I9" s="257"/>
      <c r="J9" s="255">
        <v>4314</v>
      </c>
      <c r="K9" s="20">
        <v>46059</v>
      </c>
      <c r="L9" s="19" t="s">
        <v>7</v>
      </c>
      <c r="M9" s="19" t="s">
        <v>7</v>
      </c>
      <c r="N9" s="20">
        <v>46078</v>
      </c>
      <c r="O9" s="20">
        <v>46079</v>
      </c>
      <c r="P9" s="20">
        <v>46090</v>
      </c>
      <c r="Q9" s="20">
        <v>46111</v>
      </c>
      <c r="R9" s="20">
        <v>46224</v>
      </c>
      <c r="S9" s="20" t="s">
        <v>222</v>
      </c>
      <c r="T9" s="262">
        <v>46247</v>
      </c>
      <c r="U9" s="263">
        <v>46301</v>
      </c>
      <c r="V9" s="191"/>
      <c r="W9" s="20">
        <v>46059</v>
      </c>
      <c r="X9" s="19" t="s">
        <v>7</v>
      </c>
      <c r="Y9" s="19" t="s">
        <v>7</v>
      </c>
      <c r="Z9" s="20">
        <v>46078</v>
      </c>
      <c r="AA9" s="20">
        <v>46079</v>
      </c>
      <c r="AB9" s="20">
        <v>46090</v>
      </c>
      <c r="AC9" s="20">
        <v>46111</v>
      </c>
      <c r="AD9" s="20">
        <v>46224</v>
      </c>
      <c r="AE9" s="20" t="s">
        <v>222</v>
      </c>
      <c r="AF9" s="262">
        <v>46247</v>
      </c>
      <c r="AG9" s="263">
        <v>46301</v>
      </c>
      <c r="AY9" s="17"/>
      <c r="AZ9" s="19">
        <v>46175</v>
      </c>
      <c r="BA9" s="17" t="s">
        <v>408</v>
      </c>
      <c r="BB9" s="17"/>
      <c r="BC9" s="17"/>
      <c r="BD9" s="17"/>
      <c r="BE9" s="17"/>
      <c r="BG9" s="5"/>
      <c r="BH9" s="134">
        <f t="shared" si="11"/>
        <v>0</v>
      </c>
      <c r="BI9" s="134" t="str">
        <f t="shared" si="12"/>
        <v>0</v>
      </c>
      <c r="BJ9" s="134" t="str">
        <f t="shared" si="13"/>
        <v>0</v>
      </c>
      <c r="BK9" s="134">
        <f t="shared" si="14"/>
        <v>0</v>
      </c>
      <c r="BL9" s="134">
        <f t="shared" si="15"/>
        <v>0</v>
      </c>
      <c r="BM9" s="134">
        <f t="shared" si="16"/>
        <v>0</v>
      </c>
      <c r="BN9" s="134">
        <f t="shared" si="17"/>
        <v>0</v>
      </c>
      <c r="BO9" s="134">
        <f t="shared" si="18"/>
        <v>0</v>
      </c>
      <c r="BP9" s="134" t="str">
        <f t="shared" si="19"/>
        <v>0</v>
      </c>
      <c r="BQ9" s="134">
        <f t="shared" si="20"/>
        <v>0</v>
      </c>
      <c r="BR9" s="134">
        <f t="shared" si="21"/>
        <v>0</v>
      </c>
      <c r="BS9" s="5"/>
      <c r="CJ9" s="235"/>
      <c r="CK9" s="235"/>
      <c r="CL9" s="235"/>
      <c r="CM9" s="235"/>
      <c r="CN9" s="235"/>
      <c r="CO9" s="235"/>
      <c r="CP9" s="235"/>
      <c r="CQ9" s="235"/>
      <c r="CR9" s="235"/>
      <c r="CS9" s="285"/>
    </row>
    <row r="10" spans="1:97" ht="19" customHeight="1">
      <c r="A10" s="8" t="s">
        <v>199</v>
      </c>
      <c r="B10" s="58" t="s">
        <v>258</v>
      </c>
      <c r="C10" s="8" t="s">
        <v>57</v>
      </c>
      <c r="D10" s="71" t="s">
        <v>58</v>
      </c>
      <c r="E10" s="32">
        <v>23933</v>
      </c>
      <c r="F10" s="8" t="s">
        <v>229</v>
      </c>
      <c r="G10" s="257"/>
      <c r="H10" s="257"/>
      <c r="I10" s="257"/>
      <c r="J10" s="48">
        <v>11303</v>
      </c>
      <c r="K10" s="20">
        <v>46075</v>
      </c>
      <c r="L10" s="20">
        <v>45607</v>
      </c>
      <c r="M10" s="20">
        <v>45627</v>
      </c>
      <c r="N10" s="20">
        <v>46092</v>
      </c>
      <c r="O10" s="20">
        <v>46105</v>
      </c>
      <c r="P10" s="20">
        <v>46107</v>
      </c>
      <c r="Q10" s="20">
        <v>46113</v>
      </c>
      <c r="R10" s="198">
        <v>46299</v>
      </c>
      <c r="S10" s="20" t="s">
        <v>222</v>
      </c>
      <c r="T10" s="232">
        <v>46303</v>
      </c>
      <c r="U10" s="233">
        <v>46369</v>
      </c>
      <c r="V10" s="191"/>
      <c r="W10" s="20">
        <v>46075</v>
      </c>
      <c r="X10" s="20">
        <v>45607</v>
      </c>
      <c r="Y10" s="20">
        <v>45627</v>
      </c>
      <c r="Z10" s="20">
        <v>46092</v>
      </c>
      <c r="AA10" s="20">
        <v>46105</v>
      </c>
      <c r="AB10" s="20">
        <v>46107</v>
      </c>
      <c r="AC10" s="20">
        <v>46113</v>
      </c>
      <c r="AD10" s="198">
        <v>46299</v>
      </c>
      <c r="AE10" s="20" t="s">
        <v>222</v>
      </c>
      <c r="AF10" s="232">
        <v>46300</v>
      </c>
      <c r="AG10" s="233">
        <v>46369</v>
      </c>
      <c r="AY10" s="17"/>
      <c r="AZ10" s="19">
        <v>46249</v>
      </c>
      <c r="BA10" s="17" t="s">
        <v>408</v>
      </c>
      <c r="BB10" s="17"/>
      <c r="BC10" s="17"/>
      <c r="BD10" s="17"/>
      <c r="BE10" s="17"/>
      <c r="BG10" s="5"/>
      <c r="BH10" s="134">
        <f t="shared" si="11"/>
        <v>0</v>
      </c>
      <c r="BI10" s="134">
        <f t="shared" si="12"/>
        <v>0</v>
      </c>
      <c r="BJ10" s="134">
        <f t="shared" si="13"/>
        <v>0</v>
      </c>
      <c r="BK10" s="134">
        <f t="shared" si="14"/>
        <v>0</v>
      </c>
      <c r="BL10" s="134">
        <f t="shared" si="15"/>
        <v>0</v>
      </c>
      <c r="BM10" s="134">
        <f t="shared" si="16"/>
        <v>0</v>
      </c>
      <c r="BN10" s="134">
        <f t="shared" si="17"/>
        <v>0</v>
      </c>
      <c r="BO10" s="134">
        <f t="shared" si="18"/>
        <v>0</v>
      </c>
      <c r="BP10" s="134" t="str">
        <f t="shared" si="19"/>
        <v>0</v>
      </c>
      <c r="BQ10" s="134">
        <f t="shared" si="20"/>
        <v>3</v>
      </c>
      <c r="BR10" s="134">
        <f t="shared" si="21"/>
        <v>0</v>
      </c>
      <c r="BS10" s="5"/>
    </row>
    <row r="11" spans="1:97" ht="19" customHeight="1">
      <c r="A11" s="8" t="s">
        <v>199</v>
      </c>
      <c r="B11" s="58" t="s">
        <v>258</v>
      </c>
      <c r="C11" s="8" t="s">
        <v>59</v>
      </c>
      <c r="D11" s="71" t="s">
        <v>60</v>
      </c>
      <c r="E11" s="32">
        <v>22668</v>
      </c>
      <c r="F11" s="8" t="s">
        <v>229</v>
      </c>
      <c r="G11" s="257"/>
      <c r="H11" s="257"/>
      <c r="I11" s="257"/>
      <c r="J11" s="48">
        <v>7608</v>
      </c>
      <c r="K11" s="20">
        <v>46091</v>
      </c>
      <c r="L11" s="20">
        <v>45614</v>
      </c>
      <c r="M11" s="20">
        <v>45627</v>
      </c>
      <c r="N11" s="20">
        <v>46102</v>
      </c>
      <c r="O11" s="20">
        <v>46107</v>
      </c>
      <c r="P11" s="20">
        <v>46107</v>
      </c>
      <c r="Q11" s="20">
        <v>46168</v>
      </c>
      <c r="R11" s="19">
        <v>46307</v>
      </c>
      <c r="S11" s="20" t="s">
        <v>222</v>
      </c>
      <c r="T11" s="19">
        <v>46336</v>
      </c>
      <c r="U11" s="19">
        <v>46378</v>
      </c>
      <c r="V11" s="191"/>
      <c r="W11" s="20">
        <v>46091</v>
      </c>
      <c r="X11" s="20">
        <v>45614</v>
      </c>
      <c r="Y11" s="20">
        <v>45627</v>
      </c>
      <c r="Z11" s="20">
        <v>46102</v>
      </c>
      <c r="AA11" s="20">
        <v>46107</v>
      </c>
      <c r="AB11" s="20">
        <v>46107</v>
      </c>
      <c r="AC11" s="20">
        <v>46168</v>
      </c>
      <c r="AD11" s="19">
        <v>46307</v>
      </c>
      <c r="AE11" s="20" t="s">
        <v>222</v>
      </c>
      <c r="AF11" s="19">
        <v>46336</v>
      </c>
      <c r="AG11" s="19">
        <v>46378</v>
      </c>
      <c r="AY11" s="17"/>
      <c r="AZ11" s="19">
        <v>46279</v>
      </c>
      <c r="BA11" s="17" t="s">
        <v>408</v>
      </c>
      <c r="BB11" s="17"/>
      <c r="BC11" s="17"/>
      <c r="BD11" s="17"/>
      <c r="BE11" s="17"/>
      <c r="BG11" s="5"/>
      <c r="BH11" s="134">
        <f t="shared" si="11"/>
        <v>0</v>
      </c>
      <c r="BI11" s="134">
        <f t="shared" si="12"/>
        <v>0</v>
      </c>
      <c r="BJ11" s="134">
        <f t="shared" si="13"/>
        <v>0</v>
      </c>
      <c r="BK11" s="134">
        <f t="shared" si="14"/>
        <v>0</v>
      </c>
      <c r="BL11" s="134">
        <f t="shared" si="15"/>
        <v>0</v>
      </c>
      <c r="BM11" s="134">
        <f t="shared" si="16"/>
        <v>0</v>
      </c>
      <c r="BN11" s="134">
        <f t="shared" si="17"/>
        <v>0</v>
      </c>
      <c r="BO11" s="134">
        <f t="shared" si="18"/>
        <v>0</v>
      </c>
      <c r="BP11" s="134" t="str">
        <f t="shared" si="19"/>
        <v>0</v>
      </c>
      <c r="BQ11" s="134">
        <f t="shared" si="20"/>
        <v>0</v>
      </c>
      <c r="BR11" s="134">
        <f t="shared" si="21"/>
        <v>0</v>
      </c>
      <c r="BS11" s="5"/>
    </row>
    <row r="12" spans="1:97" ht="19" customHeight="1">
      <c r="A12" s="8" t="s">
        <v>199</v>
      </c>
      <c r="B12" s="58" t="s">
        <v>258</v>
      </c>
      <c r="C12" s="8" t="s">
        <v>61</v>
      </c>
      <c r="D12" s="8" t="s">
        <v>62</v>
      </c>
      <c r="E12" s="32">
        <v>14335</v>
      </c>
      <c r="F12" s="8" t="s">
        <v>228</v>
      </c>
      <c r="G12" s="257"/>
      <c r="H12" s="257"/>
      <c r="I12" s="257"/>
      <c r="J12" s="48">
        <v>4263</v>
      </c>
      <c r="K12" s="20">
        <v>46114</v>
      </c>
      <c r="L12" s="19" t="s">
        <v>7</v>
      </c>
      <c r="M12" s="19" t="s">
        <v>7</v>
      </c>
      <c r="N12" s="20">
        <v>46116</v>
      </c>
      <c r="O12" s="20">
        <v>46117</v>
      </c>
      <c r="P12" s="20">
        <v>46121</v>
      </c>
      <c r="Q12" s="20">
        <v>46138</v>
      </c>
      <c r="R12" s="19">
        <v>46316</v>
      </c>
      <c r="S12" s="20" t="s">
        <v>222</v>
      </c>
      <c r="T12" s="19">
        <v>46341</v>
      </c>
      <c r="U12" s="19">
        <v>46384</v>
      </c>
      <c r="V12" s="191"/>
      <c r="W12" s="20">
        <v>46114</v>
      </c>
      <c r="X12" s="19" t="s">
        <v>7</v>
      </c>
      <c r="Y12" s="19" t="s">
        <v>7</v>
      </c>
      <c r="Z12" s="20">
        <v>46116</v>
      </c>
      <c r="AA12" s="20">
        <v>46117</v>
      </c>
      <c r="AB12" s="20">
        <v>46121</v>
      </c>
      <c r="AC12" s="20">
        <v>46138</v>
      </c>
      <c r="AD12" s="19">
        <v>46316</v>
      </c>
      <c r="AE12" s="20" t="s">
        <v>222</v>
      </c>
      <c r="AF12" s="19">
        <v>46341</v>
      </c>
      <c r="AG12" s="19">
        <v>46384</v>
      </c>
      <c r="AY12" s="17"/>
      <c r="AZ12" s="19">
        <v>46297</v>
      </c>
      <c r="BA12" s="17" t="s">
        <v>408</v>
      </c>
      <c r="BB12" s="17"/>
      <c r="BC12" s="17"/>
      <c r="BD12" s="17"/>
      <c r="BE12" s="17"/>
      <c r="BG12" s="5"/>
      <c r="BH12" s="134">
        <f t="shared" si="11"/>
        <v>0</v>
      </c>
      <c r="BI12" s="134" t="str">
        <f t="shared" si="12"/>
        <v>0</v>
      </c>
      <c r="BJ12" s="134" t="str">
        <f t="shared" si="13"/>
        <v>0</v>
      </c>
      <c r="BK12" s="134">
        <f t="shared" si="14"/>
        <v>0</v>
      </c>
      <c r="BL12" s="134">
        <f t="shared" si="15"/>
        <v>0</v>
      </c>
      <c r="BM12" s="134">
        <f t="shared" si="16"/>
        <v>0</v>
      </c>
      <c r="BN12" s="134">
        <f t="shared" si="17"/>
        <v>0</v>
      </c>
      <c r="BO12" s="134">
        <f t="shared" si="18"/>
        <v>0</v>
      </c>
      <c r="BP12" s="134" t="str">
        <f t="shared" si="19"/>
        <v>0</v>
      </c>
      <c r="BQ12" s="134">
        <f t="shared" si="20"/>
        <v>0</v>
      </c>
      <c r="BR12" s="134">
        <f t="shared" si="21"/>
        <v>0</v>
      </c>
      <c r="BS12" s="5"/>
    </row>
    <row r="13" spans="1:97" ht="19" customHeight="1">
      <c r="A13" s="8" t="s">
        <v>199</v>
      </c>
      <c r="B13" s="82" t="s">
        <v>259</v>
      </c>
      <c r="C13" s="8" t="s">
        <v>51</v>
      </c>
      <c r="D13" s="72" t="s">
        <v>52</v>
      </c>
      <c r="E13" s="32">
        <v>11777</v>
      </c>
      <c r="F13" s="8" t="s">
        <v>229</v>
      </c>
      <c r="G13" s="257"/>
      <c r="H13" s="257"/>
      <c r="I13" s="257"/>
      <c r="J13" s="48">
        <v>2286</v>
      </c>
      <c r="K13" s="20">
        <v>46104</v>
      </c>
      <c r="L13" s="20">
        <v>45663</v>
      </c>
      <c r="M13" s="20">
        <v>45679</v>
      </c>
      <c r="N13" s="20">
        <v>46118</v>
      </c>
      <c r="O13" s="20">
        <v>46120</v>
      </c>
      <c r="P13" s="20">
        <v>46128</v>
      </c>
      <c r="Q13" s="20">
        <v>46141</v>
      </c>
      <c r="R13" s="19">
        <v>46320</v>
      </c>
      <c r="S13" s="20" t="s">
        <v>222</v>
      </c>
      <c r="T13" s="19">
        <v>46344</v>
      </c>
      <c r="U13" s="19">
        <v>46389</v>
      </c>
      <c r="V13" s="191"/>
      <c r="W13" s="20">
        <v>46104</v>
      </c>
      <c r="X13" s="20">
        <v>45663</v>
      </c>
      <c r="Y13" s="20">
        <v>45679</v>
      </c>
      <c r="Z13" s="20">
        <v>46118</v>
      </c>
      <c r="AA13" s="20">
        <v>46120</v>
      </c>
      <c r="AB13" s="20">
        <v>46128</v>
      </c>
      <c r="AC13" s="20">
        <v>46141</v>
      </c>
      <c r="AD13" s="19">
        <v>46320</v>
      </c>
      <c r="AE13" s="20" t="s">
        <v>222</v>
      </c>
      <c r="AF13" s="19">
        <v>46344</v>
      </c>
      <c r="AG13" s="19">
        <v>46389</v>
      </c>
      <c r="AY13" s="17"/>
      <c r="AZ13" s="19">
        <v>46315</v>
      </c>
      <c r="BA13" s="17" t="s">
        <v>408</v>
      </c>
      <c r="BB13" s="17"/>
      <c r="BC13" s="17"/>
      <c r="BD13" s="17"/>
      <c r="BE13" s="17"/>
      <c r="BG13" s="5"/>
      <c r="BH13" s="134">
        <f t="shared" si="11"/>
        <v>0</v>
      </c>
      <c r="BI13" s="134">
        <f t="shared" si="12"/>
        <v>0</v>
      </c>
      <c r="BJ13" s="134">
        <f t="shared" si="13"/>
        <v>0</v>
      </c>
      <c r="BK13" s="134">
        <f t="shared" si="14"/>
        <v>0</v>
      </c>
      <c r="BL13" s="134">
        <f t="shared" si="15"/>
        <v>0</v>
      </c>
      <c r="BM13" s="134">
        <f t="shared" si="16"/>
        <v>0</v>
      </c>
      <c r="BN13" s="134">
        <f t="shared" si="17"/>
        <v>0</v>
      </c>
      <c r="BO13" s="134">
        <f t="shared" si="18"/>
        <v>0</v>
      </c>
      <c r="BP13" s="134" t="str">
        <f t="shared" si="19"/>
        <v>0</v>
      </c>
      <c r="BQ13" s="134">
        <f t="shared" si="20"/>
        <v>0</v>
      </c>
      <c r="BR13" s="134">
        <f t="shared" si="21"/>
        <v>0</v>
      </c>
      <c r="BS13" s="5"/>
    </row>
    <row r="14" spans="1:97" ht="19" customHeight="1">
      <c r="A14" s="8" t="s">
        <v>199</v>
      </c>
      <c r="B14" s="82" t="s">
        <v>259</v>
      </c>
      <c r="C14" s="8" t="s">
        <v>53</v>
      </c>
      <c r="D14" s="71" t="s">
        <v>54</v>
      </c>
      <c r="E14" s="32">
        <v>8173</v>
      </c>
      <c r="F14" s="8" t="s">
        <v>229</v>
      </c>
      <c r="G14" s="257"/>
      <c r="H14" s="257"/>
      <c r="I14" s="257"/>
      <c r="J14" s="48">
        <v>1748</v>
      </c>
      <c r="K14" s="20">
        <v>46105</v>
      </c>
      <c r="L14" s="49">
        <v>45666</v>
      </c>
      <c r="M14" s="49">
        <v>45687</v>
      </c>
      <c r="N14" s="20">
        <v>46123</v>
      </c>
      <c r="O14" s="20">
        <v>46124</v>
      </c>
      <c r="P14" s="20">
        <v>46127</v>
      </c>
      <c r="Q14" s="20">
        <v>46136</v>
      </c>
      <c r="R14" s="19">
        <v>46323</v>
      </c>
      <c r="S14" s="20" t="s">
        <v>222</v>
      </c>
      <c r="T14" s="19">
        <v>46347</v>
      </c>
      <c r="U14" s="19">
        <v>46392</v>
      </c>
      <c r="V14" s="191"/>
      <c r="W14" s="20">
        <v>46105</v>
      </c>
      <c r="X14" s="49">
        <v>45666</v>
      </c>
      <c r="Y14" s="49">
        <v>45687</v>
      </c>
      <c r="Z14" s="20">
        <v>46123</v>
      </c>
      <c r="AA14" s="20">
        <v>46124</v>
      </c>
      <c r="AB14" s="20">
        <v>46127</v>
      </c>
      <c r="AC14" s="20">
        <v>46136</v>
      </c>
      <c r="AD14" s="19">
        <v>46323</v>
      </c>
      <c r="AE14" s="20" t="s">
        <v>222</v>
      </c>
      <c r="AF14" s="19">
        <v>46347</v>
      </c>
      <c r="AG14" s="19">
        <v>46392</v>
      </c>
      <c r="AY14" s="17"/>
      <c r="AZ14" s="19">
        <v>46335</v>
      </c>
      <c r="BA14" s="17" t="s">
        <v>408</v>
      </c>
      <c r="BB14" s="17"/>
      <c r="BC14" s="17"/>
      <c r="BD14" s="17"/>
      <c r="BE14" s="17"/>
      <c r="BG14" s="5"/>
      <c r="BH14" s="134">
        <f t="shared" si="11"/>
        <v>0</v>
      </c>
      <c r="BI14" s="134">
        <f t="shared" si="12"/>
        <v>0</v>
      </c>
      <c r="BJ14" s="134">
        <f t="shared" si="13"/>
        <v>0</v>
      </c>
      <c r="BK14" s="134">
        <f t="shared" si="14"/>
        <v>0</v>
      </c>
      <c r="BL14" s="134">
        <f t="shared" si="15"/>
        <v>0</v>
      </c>
      <c r="BM14" s="134">
        <f t="shared" si="16"/>
        <v>0</v>
      </c>
      <c r="BN14" s="134">
        <f t="shared" si="17"/>
        <v>0</v>
      </c>
      <c r="BO14" s="134">
        <f t="shared" si="18"/>
        <v>0</v>
      </c>
      <c r="BP14" s="134" t="str">
        <f t="shared" si="19"/>
        <v>0</v>
      </c>
      <c r="BQ14" s="134">
        <f t="shared" si="20"/>
        <v>0</v>
      </c>
      <c r="BR14" s="134">
        <f t="shared" si="21"/>
        <v>0</v>
      </c>
      <c r="BS14" s="5"/>
    </row>
    <row r="15" spans="1:97" ht="19" customHeight="1">
      <c r="A15" s="8" t="s">
        <v>199</v>
      </c>
      <c r="B15" s="82" t="s">
        <v>259</v>
      </c>
      <c r="C15" s="8" t="s">
        <v>55</v>
      </c>
      <c r="D15" s="71" t="s">
        <v>56</v>
      </c>
      <c r="E15" s="32">
        <v>15472</v>
      </c>
      <c r="F15" s="8" t="s">
        <v>229</v>
      </c>
      <c r="G15" s="257"/>
      <c r="H15" s="257"/>
      <c r="I15" s="257"/>
      <c r="J15" s="48">
        <v>4370</v>
      </c>
      <c r="K15" s="20">
        <v>46135</v>
      </c>
      <c r="L15" s="20">
        <v>45632</v>
      </c>
      <c r="M15" s="20">
        <v>45656</v>
      </c>
      <c r="N15" s="20">
        <v>46142</v>
      </c>
      <c r="O15" s="20">
        <v>46146</v>
      </c>
      <c r="P15" s="20">
        <v>46147</v>
      </c>
      <c r="Q15" s="20">
        <v>46168</v>
      </c>
      <c r="R15" s="19">
        <v>46333</v>
      </c>
      <c r="S15" s="20" t="s">
        <v>222</v>
      </c>
      <c r="T15" s="19">
        <v>46355</v>
      </c>
      <c r="U15" s="19">
        <v>46400</v>
      </c>
      <c r="V15" s="191"/>
      <c r="W15" s="20">
        <v>46135</v>
      </c>
      <c r="X15" s="20">
        <v>45632</v>
      </c>
      <c r="Y15" s="20">
        <v>45656</v>
      </c>
      <c r="Z15" s="20">
        <v>46142</v>
      </c>
      <c r="AA15" s="20">
        <v>46146</v>
      </c>
      <c r="AB15" s="20">
        <v>46147</v>
      </c>
      <c r="AC15" s="20">
        <v>46168</v>
      </c>
      <c r="AD15" s="19">
        <v>46333</v>
      </c>
      <c r="AE15" s="20" t="s">
        <v>222</v>
      </c>
      <c r="AF15" s="19">
        <v>46355</v>
      </c>
      <c r="AG15" s="19">
        <v>46400</v>
      </c>
      <c r="AY15" s="17"/>
      <c r="AZ15" s="19">
        <v>46381</v>
      </c>
      <c r="BA15" s="17" t="s">
        <v>408</v>
      </c>
      <c r="BB15" s="17"/>
      <c r="BC15" s="17"/>
      <c r="BD15" s="17"/>
      <c r="BE15" s="17"/>
      <c r="BG15" s="5"/>
      <c r="BH15" s="134">
        <f t="shared" si="11"/>
        <v>0</v>
      </c>
      <c r="BI15" s="134">
        <f t="shared" si="12"/>
        <v>0</v>
      </c>
      <c r="BJ15" s="134">
        <f t="shared" si="13"/>
        <v>0</v>
      </c>
      <c r="BK15" s="134">
        <f t="shared" si="14"/>
        <v>0</v>
      </c>
      <c r="BL15" s="134">
        <f t="shared" si="15"/>
        <v>0</v>
      </c>
      <c r="BM15" s="134">
        <f t="shared" si="16"/>
        <v>0</v>
      </c>
      <c r="BN15" s="134">
        <f t="shared" si="17"/>
        <v>0</v>
      </c>
      <c r="BO15" s="134">
        <f t="shared" si="18"/>
        <v>0</v>
      </c>
      <c r="BP15" s="134" t="str">
        <f t="shared" si="19"/>
        <v>0</v>
      </c>
      <c r="BQ15" s="134">
        <f t="shared" si="20"/>
        <v>0</v>
      </c>
      <c r="BR15" s="134">
        <f t="shared" si="21"/>
        <v>0</v>
      </c>
      <c r="BS15" s="5"/>
    </row>
    <row r="16" spans="1:97" ht="16" customHeight="1">
      <c r="A16" s="8" t="s">
        <v>199</v>
      </c>
      <c r="B16" s="82" t="s">
        <v>259</v>
      </c>
      <c r="C16" s="8" t="s">
        <v>49</v>
      </c>
      <c r="D16" s="72" t="s">
        <v>50</v>
      </c>
      <c r="E16" s="64">
        <v>6544</v>
      </c>
      <c r="F16" s="8" t="s">
        <v>229</v>
      </c>
      <c r="G16" s="257"/>
      <c r="H16" s="257"/>
      <c r="I16" s="257"/>
      <c r="J16" s="48">
        <v>869</v>
      </c>
      <c r="K16" s="20">
        <v>46148</v>
      </c>
      <c r="L16" s="20">
        <v>45667</v>
      </c>
      <c r="M16" s="20">
        <v>45688</v>
      </c>
      <c r="N16" s="20">
        <v>46149</v>
      </c>
      <c r="O16" s="20">
        <v>46151</v>
      </c>
      <c r="P16" s="20">
        <v>46155</v>
      </c>
      <c r="Q16" s="20">
        <v>46172</v>
      </c>
      <c r="R16" s="19">
        <v>46338</v>
      </c>
      <c r="S16" s="20" t="s">
        <v>222</v>
      </c>
      <c r="T16" s="19">
        <v>46363</v>
      </c>
      <c r="U16" s="19">
        <v>46408</v>
      </c>
      <c r="V16" s="191"/>
      <c r="W16" s="20">
        <v>46148</v>
      </c>
      <c r="X16" s="20">
        <v>45667</v>
      </c>
      <c r="Y16" s="20">
        <v>45688</v>
      </c>
      <c r="Z16" s="20">
        <v>46149</v>
      </c>
      <c r="AA16" s="20">
        <v>46151</v>
      </c>
      <c r="AB16" s="20">
        <v>46155</v>
      </c>
      <c r="AC16" s="20">
        <v>46172</v>
      </c>
      <c r="AD16" s="19">
        <v>46338</v>
      </c>
      <c r="AE16" s="20" t="s">
        <v>222</v>
      </c>
      <c r="AF16" s="19">
        <v>46363</v>
      </c>
      <c r="AG16" s="19">
        <v>46408</v>
      </c>
      <c r="AY16" s="17"/>
      <c r="AZ16" s="19">
        <v>46388</v>
      </c>
      <c r="BA16" s="17" t="s">
        <v>408</v>
      </c>
      <c r="BB16" s="17"/>
      <c r="BC16" s="17"/>
      <c r="BD16" s="17"/>
      <c r="BE16" s="17"/>
      <c r="BG16" s="5"/>
      <c r="BH16" s="134">
        <f t="shared" si="11"/>
        <v>0</v>
      </c>
      <c r="BI16" s="134">
        <f t="shared" si="12"/>
        <v>0</v>
      </c>
      <c r="BJ16" s="134">
        <f t="shared" si="13"/>
        <v>0</v>
      </c>
      <c r="BK16" s="134">
        <f t="shared" si="14"/>
        <v>0</v>
      </c>
      <c r="BL16" s="134">
        <f t="shared" si="15"/>
        <v>0</v>
      </c>
      <c r="BM16" s="134">
        <f t="shared" si="16"/>
        <v>0</v>
      </c>
      <c r="BN16" s="134">
        <f t="shared" si="17"/>
        <v>0</v>
      </c>
      <c r="BO16" s="134">
        <f t="shared" si="18"/>
        <v>0</v>
      </c>
      <c r="BP16" s="134" t="str">
        <f t="shared" si="19"/>
        <v>0</v>
      </c>
      <c r="BQ16" s="134">
        <f t="shared" si="20"/>
        <v>0</v>
      </c>
      <c r="BR16" s="134">
        <f t="shared" si="21"/>
        <v>0</v>
      </c>
      <c r="BS16" s="5"/>
    </row>
    <row r="17" spans="1:71" ht="19" customHeight="1">
      <c r="A17" s="8" t="s">
        <v>199</v>
      </c>
      <c r="B17" s="83" t="s">
        <v>260</v>
      </c>
      <c r="C17" s="8" t="s">
        <v>45</v>
      </c>
      <c r="D17" s="8" t="s">
        <v>189</v>
      </c>
      <c r="E17" s="32">
        <v>24034</v>
      </c>
      <c r="F17" s="8" t="s">
        <v>228</v>
      </c>
      <c r="G17" s="257"/>
      <c r="H17" s="257"/>
      <c r="I17" s="257"/>
      <c r="J17" s="48">
        <v>20596</v>
      </c>
      <c r="K17" s="20">
        <v>46098</v>
      </c>
      <c r="L17" s="19" t="s">
        <v>7</v>
      </c>
      <c r="M17" s="19" t="s">
        <v>7</v>
      </c>
      <c r="N17" s="20">
        <v>46106</v>
      </c>
      <c r="O17" s="20">
        <v>46108</v>
      </c>
      <c r="P17" s="20">
        <v>46108</v>
      </c>
      <c r="Q17" s="20">
        <v>46140</v>
      </c>
      <c r="R17" s="19">
        <v>46354</v>
      </c>
      <c r="S17" s="20" t="s">
        <v>222</v>
      </c>
      <c r="T17" s="19">
        <v>46414</v>
      </c>
      <c r="U17" s="19">
        <v>46446</v>
      </c>
      <c r="V17" s="267"/>
      <c r="W17" s="20">
        <v>46098</v>
      </c>
      <c r="X17" s="19" t="s">
        <v>7</v>
      </c>
      <c r="Y17" s="19" t="s">
        <v>7</v>
      </c>
      <c r="Z17" s="20">
        <v>46106</v>
      </c>
      <c r="AA17" s="20">
        <v>46108</v>
      </c>
      <c r="AB17" s="20">
        <v>46108</v>
      </c>
      <c r="AC17" s="20">
        <v>46140</v>
      </c>
      <c r="AD17" s="19">
        <v>46354</v>
      </c>
      <c r="AE17" s="20" t="s">
        <v>222</v>
      </c>
      <c r="AF17" s="19">
        <v>46414</v>
      </c>
      <c r="AG17" s="19">
        <v>46446</v>
      </c>
      <c r="AY17" s="17"/>
      <c r="AZ17" s="19">
        <v>46401</v>
      </c>
      <c r="BA17" s="17" t="s">
        <v>408</v>
      </c>
      <c r="BB17" s="17"/>
      <c r="BC17" s="17"/>
      <c r="BD17" s="17"/>
      <c r="BE17" s="17"/>
      <c r="BG17" s="5"/>
      <c r="BH17" s="134">
        <f t="shared" si="11"/>
        <v>0</v>
      </c>
      <c r="BI17" s="134" t="str">
        <f t="shared" si="12"/>
        <v>0</v>
      </c>
      <c r="BJ17" s="134" t="str">
        <f t="shared" si="13"/>
        <v>0</v>
      </c>
      <c r="BK17" s="134">
        <f t="shared" si="14"/>
        <v>0</v>
      </c>
      <c r="BL17" s="134">
        <f t="shared" si="15"/>
        <v>0</v>
      </c>
      <c r="BM17" s="134">
        <f t="shared" si="16"/>
        <v>0</v>
      </c>
      <c r="BN17" s="134">
        <f t="shared" si="17"/>
        <v>0</v>
      </c>
      <c r="BO17" s="134">
        <f t="shared" si="18"/>
        <v>0</v>
      </c>
      <c r="BP17" s="134" t="str">
        <f t="shared" si="19"/>
        <v>0</v>
      </c>
      <c r="BQ17" s="134">
        <f t="shared" si="20"/>
        <v>0</v>
      </c>
      <c r="BR17" s="134">
        <f t="shared" si="21"/>
        <v>0</v>
      </c>
      <c r="BS17" s="5"/>
    </row>
    <row r="18" spans="1:71" ht="19" customHeight="1">
      <c r="A18" s="8" t="s">
        <v>199</v>
      </c>
      <c r="B18" s="83" t="s">
        <v>260</v>
      </c>
      <c r="C18" s="8" t="s">
        <v>44</v>
      </c>
      <c r="D18" s="8" t="s">
        <v>188</v>
      </c>
      <c r="E18" s="32">
        <v>18327</v>
      </c>
      <c r="F18" s="8" t="s">
        <v>228</v>
      </c>
      <c r="G18" s="257"/>
      <c r="H18" s="257"/>
      <c r="I18" s="257"/>
      <c r="J18" s="48">
        <v>10270</v>
      </c>
      <c r="K18" s="20">
        <v>46155</v>
      </c>
      <c r="L18" s="19" t="s">
        <v>7</v>
      </c>
      <c r="M18" s="19" t="s">
        <v>7</v>
      </c>
      <c r="N18" s="20">
        <v>46157</v>
      </c>
      <c r="O18" s="20">
        <v>46160</v>
      </c>
      <c r="P18" s="20">
        <v>46160</v>
      </c>
      <c r="Q18" s="20">
        <v>46200</v>
      </c>
      <c r="R18" s="19">
        <v>46369</v>
      </c>
      <c r="S18" s="20" t="s">
        <v>222</v>
      </c>
      <c r="T18" s="19">
        <v>46426</v>
      </c>
      <c r="U18" s="19">
        <v>46471</v>
      </c>
      <c r="V18" s="191"/>
      <c r="W18" s="20">
        <v>46155</v>
      </c>
      <c r="X18" s="19" t="s">
        <v>7</v>
      </c>
      <c r="Y18" s="19" t="s">
        <v>7</v>
      </c>
      <c r="Z18" s="20">
        <v>46157</v>
      </c>
      <c r="AA18" s="20">
        <v>46160</v>
      </c>
      <c r="AB18" s="20">
        <v>46160</v>
      </c>
      <c r="AC18" s="20">
        <v>46200</v>
      </c>
      <c r="AD18" s="19">
        <v>46369</v>
      </c>
      <c r="AE18" s="20" t="s">
        <v>222</v>
      </c>
      <c r="AF18" s="19">
        <v>46426</v>
      </c>
      <c r="AG18" s="19">
        <v>46471</v>
      </c>
      <c r="AY18" s="17"/>
      <c r="AZ18" s="19">
        <v>46413</v>
      </c>
      <c r="BA18" s="17" t="s">
        <v>408</v>
      </c>
      <c r="BB18" s="17"/>
      <c r="BC18" s="17"/>
      <c r="BD18" s="17"/>
      <c r="BE18" s="17"/>
      <c r="BG18" s="5"/>
      <c r="BH18" s="134">
        <f t="shared" si="11"/>
        <v>0</v>
      </c>
      <c r="BI18" s="134" t="str">
        <f t="shared" si="12"/>
        <v>0</v>
      </c>
      <c r="BJ18" s="134" t="str">
        <f t="shared" si="13"/>
        <v>0</v>
      </c>
      <c r="BK18" s="134">
        <f t="shared" si="14"/>
        <v>0</v>
      </c>
      <c r="BL18" s="134">
        <f t="shared" si="15"/>
        <v>0</v>
      </c>
      <c r="BM18" s="134">
        <f t="shared" si="16"/>
        <v>0</v>
      </c>
      <c r="BN18" s="134">
        <f t="shared" si="17"/>
        <v>0</v>
      </c>
      <c r="BO18" s="134">
        <f t="shared" si="18"/>
        <v>0</v>
      </c>
      <c r="BP18" s="134" t="str">
        <f t="shared" si="19"/>
        <v>0</v>
      </c>
      <c r="BQ18" s="134">
        <f t="shared" si="20"/>
        <v>0</v>
      </c>
      <c r="BR18" s="134">
        <f t="shared" si="21"/>
        <v>0</v>
      </c>
      <c r="BS18" s="5"/>
    </row>
    <row r="19" spans="1:71" ht="19" customHeight="1">
      <c r="A19" s="8" t="s">
        <v>199</v>
      </c>
      <c r="B19" s="83" t="s">
        <v>260</v>
      </c>
      <c r="C19" s="8" t="s">
        <v>43</v>
      </c>
      <c r="D19" s="71" t="s">
        <v>187</v>
      </c>
      <c r="E19" s="32">
        <v>27365</v>
      </c>
      <c r="F19" s="8" t="s">
        <v>229</v>
      </c>
      <c r="G19" s="257"/>
      <c r="H19" s="257"/>
      <c r="I19" s="257"/>
      <c r="J19" s="48">
        <v>10049</v>
      </c>
      <c r="K19" s="49">
        <v>46201</v>
      </c>
      <c r="L19" s="20">
        <v>45677</v>
      </c>
      <c r="M19" s="20">
        <v>45689</v>
      </c>
      <c r="N19" s="20">
        <v>46229</v>
      </c>
      <c r="O19" s="20">
        <v>46233</v>
      </c>
      <c r="P19" s="20">
        <v>46247</v>
      </c>
      <c r="Q19" s="20">
        <v>46265</v>
      </c>
      <c r="R19" s="19">
        <v>46383</v>
      </c>
      <c r="S19" s="20" t="s">
        <v>222</v>
      </c>
      <c r="T19" s="19">
        <v>46439</v>
      </c>
      <c r="U19" s="19">
        <v>46484</v>
      </c>
      <c r="V19" s="191"/>
      <c r="W19" s="49">
        <v>46201</v>
      </c>
      <c r="X19" s="20">
        <v>45677</v>
      </c>
      <c r="Y19" s="20">
        <v>45689</v>
      </c>
      <c r="Z19" s="20">
        <v>46229</v>
      </c>
      <c r="AA19" s="20">
        <v>46233</v>
      </c>
      <c r="AB19" s="20">
        <v>46247</v>
      </c>
      <c r="AC19" s="20">
        <v>46265</v>
      </c>
      <c r="AD19" s="19">
        <v>46383</v>
      </c>
      <c r="AE19" s="20" t="s">
        <v>222</v>
      </c>
      <c r="AF19" s="19">
        <v>46439</v>
      </c>
      <c r="AG19" s="19">
        <v>46484</v>
      </c>
      <c r="AY19" s="17"/>
      <c r="AZ19" s="19">
        <v>46480</v>
      </c>
      <c r="BA19" s="17" t="s">
        <v>408</v>
      </c>
      <c r="BB19" s="17"/>
      <c r="BC19" s="17"/>
      <c r="BD19" s="17"/>
      <c r="BE19" s="17"/>
      <c r="BG19" s="5"/>
      <c r="BH19" s="134">
        <f t="shared" si="11"/>
        <v>0</v>
      </c>
      <c r="BI19" s="134">
        <f t="shared" si="12"/>
        <v>0</v>
      </c>
      <c r="BJ19" s="134">
        <f t="shared" si="13"/>
        <v>0</v>
      </c>
      <c r="BK19" s="134">
        <f t="shared" si="14"/>
        <v>0</v>
      </c>
      <c r="BL19" s="134">
        <f t="shared" si="15"/>
        <v>0</v>
      </c>
      <c r="BM19" s="134">
        <f t="shared" si="16"/>
        <v>0</v>
      </c>
      <c r="BN19" s="134">
        <f t="shared" si="17"/>
        <v>0</v>
      </c>
      <c r="BO19" s="134">
        <f t="shared" si="18"/>
        <v>0</v>
      </c>
      <c r="BP19" s="134" t="str">
        <f t="shared" si="19"/>
        <v>0</v>
      </c>
      <c r="BQ19" s="134">
        <f t="shared" si="20"/>
        <v>0</v>
      </c>
      <c r="BR19" s="134">
        <f t="shared" si="21"/>
        <v>0</v>
      </c>
      <c r="BS19" s="5"/>
    </row>
    <row r="20" spans="1:71" ht="19" customHeight="1">
      <c r="A20" s="8" t="s">
        <v>199</v>
      </c>
      <c r="B20" s="83" t="s">
        <v>260</v>
      </c>
      <c r="C20" s="8" t="s">
        <v>42</v>
      </c>
      <c r="D20" s="72" t="s">
        <v>186</v>
      </c>
      <c r="E20" s="48">
        <v>8952</v>
      </c>
      <c r="F20" s="8" t="s">
        <v>229</v>
      </c>
      <c r="G20" s="257"/>
      <c r="H20" s="257"/>
      <c r="I20" s="257"/>
      <c r="J20" s="48">
        <v>4111</v>
      </c>
      <c r="K20" s="49">
        <v>46212</v>
      </c>
      <c r="L20" s="20">
        <v>45654</v>
      </c>
      <c r="M20" s="20">
        <v>45657</v>
      </c>
      <c r="N20" s="20">
        <v>46214</v>
      </c>
      <c r="O20" s="20">
        <v>46220</v>
      </c>
      <c r="P20" s="20">
        <v>46223</v>
      </c>
      <c r="Q20" s="20">
        <v>46259</v>
      </c>
      <c r="R20" s="19">
        <v>46389</v>
      </c>
      <c r="S20" s="20" t="s">
        <v>222</v>
      </c>
      <c r="T20" s="19">
        <v>46449</v>
      </c>
      <c r="U20" s="19">
        <v>46494</v>
      </c>
      <c r="V20" s="191"/>
      <c r="W20" s="49">
        <v>46212</v>
      </c>
      <c r="X20" s="20">
        <v>45654</v>
      </c>
      <c r="Y20" s="20">
        <v>45657</v>
      </c>
      <c r="Z20" s="20">
        <v>46214</v>
      </c>
      <c r="AA20" s="20">
        <v>46220</v>
      </c>
      <c r="AB20" s="20">
        <v>46223</v>
      </c>
      <c r="AC20" s="20">
        <v>46259</v>
      </c>
      <c r="AD20" s="19">
        <v>46389</v>
      </c>
      <c r="AE20" s="20" t="s">
        <v>222</v>
      </c>
      <c r="AF20" s="19">
        <v>46449</v>
      </c>
      <c r="AG20" s="19">
        <v>46494</v>
      </c>
      <c r="AY20" s="17"/>
      <c r="AZ20" s="19">
        <v>46508</v>
      </c>
      <c r="BA20" s="17" t="s">
        <v>408</v>
      </c>
      <c r="BB20" s="17"/>
      <c r="BC20" s="17"/>
      <c r="BD20" s="17"/>
      <c r="BE20" s="17"/>
      <c r="BG20" s="5"/>
      <c r="BH20" s="134">
        <f t="shared" si="11"/>
        <v>0</v>
      </c>
      <c r="BI20" s="134">
        <f t="shared" si="12"/>
        <v>0</v>
      </c>
      <c r="BJ20" s="134">
        <f t="shared" si="13"/>
        <v>0</v>
      </c>
      <c r="BK20" s="134">
        <f t="shared" si="14"/>
        <v>0</v>
      </c>
      <c r="BL20" s="134">
        <f t="shared" si="15"/>
        <v>0</v>
      </c>
      <c r="BM20" s="134">
        <f t="shared" si="16"/>
        <v>0</v>
      </c>
      <c r="BN20" s="134">
        <f t="shared" si="17"/>
        <v>0</v>
      </c>
      <c r="BO20" s="134">
        <f t="shared" si="18"/>
        <v>0</v>
      </c>
      <c r="BP20" s="134" t="str">
        <f t="shared" si="19"/>
        <v>0</v>
      </c>
      <c r="BQ20" s="134">
        <f t="shared" si="20"/>
        <v>0</v>
      </c>
      <c r="BR20" s="134">
        <f t="shared" si="21"/>
        <v>0</v>
      </c>
      <c r="BS20" s="5"/>
    </row>
    <row r="21" spans="1:71" ht="19" customHeight="1">
      <c r="A21" s="8" t="s">
        <v>199</v>
      </c>
      <c r="B21" s="84" t="s">
        <v>261</v>
      </c>
      <c r="C21" s="8" t="s">
        <v>36</v>
      </c>
      <c r="D21" s="9" t="s">
        <v>180</v>
      </c>
      <c r="E21" s="64">
        <v>28875</v>
      </c>
      <c r="F21" s="8" t="s">
        <v>228</v>
      </c>
      <c r="G21" s="257"/>
      <c r="H21" s="256">
        <v>649</v>
      </c>
      <c r="I21" s="256">
        <v>8884</v>
      </c>
      <c r="J21" s="48">
        <v>14772</v>
      </c>
      <c r="K21" s="262">
        <v>46312</v>
      </c>
      <c r="L21" s="19" t="s">
        <v>7</v>
      </c>
      <c r="M21" s="19" t="s">
        <v>7</v>
      </c>
      <c r="N21" s="19">
        <v>46313</v>
      </c>
      <c r="O21" s="19">
        <v>46327</v>
      </c>
      <c r="P21" s="19">
        <v>46328</v>
      </c>
      <c r="Q21" s="19">
        <v>46349</v>
      </c>
      <c r="R21" s="19">
        <v>46404</v>
      </c>
      <c r="S21" s="20" t="s">
        <v>222</v>
      </c>
      <c r="T21" s="19">
        <v>46465</v>
      </c>
      <c r="U21" s="19">
        <v>46510</v>
      </c>
      <c r="V21" s="191"/>
      <c r="W21" s="262">
        <v>46312</v>
      </c>
      <c r="X21" s="19" t="s">
        <v>7</v>
      </c>
      <c r="Y21" s="19" t="s">
        <v>7</v>
      </c>
      <c r="Z21" s="19">
        <v>46313</v>
      </c>
      <c r="AA21" s="19">
        <v>46327</v>
      </c>
      <c r="AB21" s="19">
        <v>46328</v>
      </c>
      <c r="AC21" s="19">
        <v>46349</v>
      </c>
      <c r="AD21" s="19">
        <v>46404</v>
      </c>
      <c r="AE21" s="20" t="s">
        <v>222</v>
      </c>
      <c r="AF21" s="19">
        <v>46465</v>
      </c>
      <c r="AG21" s="19">
        <v>46510</v>
      </c>
      <c r="AY21" s="17"/>
      <c r="AZ21" s="19">
        <v>46534</v>
      </c>
      <c r="BA21" s="17" t="s">
        <v>408</v>
      </c>
      <c r="BB21" s="17"/>
      <c r="BC21" s="17"/>
      <c r="BD21" s="17"/>
      <c r="BE21" s="17"/>
      <c r="BG21" s="5"/>
      <c r="BH21" s="134">
        <f t="shared" si="11"/>
        <v>0</v>
      </c>
      <c r="BI21" s="134" t="str">
        <f t="shared" si="12"/>
        <v>0</v>
      </c>
      <c r="BJ21" s="134" t="str">
        <f t="shared" si="13"/>
        <v>0</v>
      </c>
      <c r="BK21" s="134">
        <f t="shared" si="14"/>
        <v>0</v>
      </c>
      <c r="BL21" s="134">
        <f t="shared" si="15"/>
        <v>0</v>
      </c>
      <c r="BM21" s="134">
        <f t="shared" si="16"/>
        <v>0</v>
      </c>
      <c r="BN21" s="134">
        <f t="shared" si="17"/>
        <v>0</v>
      </c>
      <c r="BO21" s="134">
        <f t="shared" si="18"/>
        <v>0</v>
      </c>
      <c r="BP21" s="134" t="str">
        <f t="shared" si="19"/>
        <v>0</v>
      </c>
      <c r="BQ21" s="134">
        <f t="shared" si="20"/>
        <v>0</v>
      </c>
      <c r="BR21" s="134">
        <f t="shared" si="21"/>
        <v>0</v>
      </c>
      <c r="BS21" s="5"/>
    </row>
    <row r="22" spans="1:71" ht="19" customHeight="1">
      <c r="A22" s="8" t="s">
        <v>199</v>
      </c>
      <c r="B22" s="84" t="s">
        <v>261</v>
      </c>
      <c r="C22" s="8" t="s">
        <v>34</v>
      </c>
      <c r="D22" s="72" t="s">
        <v>35</v>
      </c>
      <c r="E22" s="64">
        <v>24358</v>
      </c>
      <c r="F22" s="8" t="s">
        <v>229</v>
      </c>
      <c r="G22" s="257"/>
      <c r="H22" s="257"/>
      <c r="I22" s="256">
        <v>8576</v>
      </c>
      <c r="J22" s="48">
        <v>14356</v>
      </c>
      <c r="K22" s="49">
        <v>46233</v>
      </c>
      <c r="L22" s="20">
        <v>45669</v>
      </c>
      <c r="M22" s="20">
        <v>45688</v>
      </c>
      <c r="N22" s="20">
        <v>46248</v>
      </c>
      <c r="O22" s="20">
        <v>46258</v>
      </c>
      <c r="P22" s="19">
        <v>46305</v>
      </c>
      <c r="Q22" s="19">
        <v>46323</v>
      </c>
      <c r="R22" s="19">
        <v>46414</v>
      </c>
      <c r="S22" s="20" t="s">
        <v>222</v>
      </c>
      <c r="T22" s="19">
        <v>46479</v>
      </c>
      <c r="U22" s="19">
        <v>46519</v>
      </c>
      <c r="V22" s="191"/>
      <c r="W22" s="49">
        <v>46233</v>
      </c>
      <c r="X22" s="20">
        <v>45669</v>
      </c>
      <c r="Y22" s="20">
        <v>45688</v>
      </c>
      <c r="Z22" s="20">
        <v>46248</v>
      </c>
      <c r="AA22" s="20">
        <v>46258</v>
      </c>
      <c r="AB22" s="19">
        <v>46305</v>
      </c>
      <c r="AC22" s="19">
        <v>46323</v>
      </c>
      <c r="AD22" s="19">
        <v>46414</v>
      </c>
      <c r="AE22" s="20" t="s">
        <v>222</v>
      </c>
      <c r="AF22" s="19">
        <v>46479</v>
      </c>
      <c r="AG22" s="19">
        <v>46519</v>
      </c>
      <c r="AY22" s="17"/>
      <c r="AZ22" s="19">
        <v>46540</v>
      </c>
      <c r="BA22" s="17" t="s">
        <v>408</v>
      </c>
      <c r="BB22" s="17"/>
      <c r="BC22" s="17"/>
      <c r="BD22" s="17"/>
      <c r="BE22" s="17"/>
      <c r="BG22" s="5"/>
      <c r="BH22" s="134">
        <f t="shared" si="11"/>
        <v>0</v>
      </c>
      <c r="BI22" s="134">
        <f t="shared" si="12"/>
        <v>0</v>
      </c>
      <c r="BJ22" s="134">
        <f t="shared" si="13"/>
        <v>0</v>
      </c>
      <c r="BK22" s="134">
        <f t="shared" si="14"/>
        <v>0</v>
      </c>
      <c r="BL22" s="134">
        <f t="shared" si="15"/>
        <v>0</v>
      </c>
      <c r="BM22" s="134">
        <f t="shared" si="16"/>
        <v>0</v>
      </c>
      <c r="BN22" s="134">
        <f t="shared" si="17"/>
        <v>0</v>
      </c>
      <c r="BO22" s="134">
        <f t="shared" si="18"/>
        <v>0</v>
      </c>
      <c r="BP22" s="134" t="str">
        <f t="shared" si="19"/>
        <v>0</v>
      </c>
      <c r="BQ22" s="134">
        <f t="shared" si="20"/>
        <v>0</v>
      </c>
      <c r="BR22" s="134">
        <f t="shared" si="21"/>
        <v>0</v>
      </c>
      <c r="BS22" s="5"/>
    </row>
    <row r="23" spans="1:71" ht="19" customHeight="1">
      <c r="A23" s="8" t="s">
        <v>199</v>
      </c>
      <c r="B23" s="84" t="s">
        <v>261</v>
      </c>
      <c r="C23" s="8" t="s">
        <v>32</v>
      </c>
      <c r="D23" s="9" t="s">
        <v>33</v>
      </c>
      <c r="E23" s="64">
        <v>12741</v>
      </c>
      <c r="F23" s="8" t="s">
        <v>228</v>
      </c>
      <c r="G23" s="257"/>
      <c r="H23" s="257"/>
      <c r="I23" s="257"/>
      <c r="J23" s="48">
        <v>4124</v>
      </c>
      <c r="K23" s="49">
        <v>46245</v>
      </c>
      <c r="L23" s="19" t="s">
        <v>7</v>
      </c>
      <c r="M23" s="19" t="s">
        <v>7</v>
      </c>
      <c r="N23" s="20">
        <v>46247</v>
      </c>
      <c r="O23" s="20">
        <v>46248</v>
      </c>
      <c r="P23" s="49">
        <v>46275</v>
      </c>
      <c r="Q23" s="312">
        <v>46285</v>
      </c>
      <c r="R23" s="19">
        <v>46419</v>
      </c>
      <c r="S23" s="20" t="s">
        <v>222</v>
      </c>
      <c r="T23" s="19">
        <v>46487</v>
      </c>
      <c r="U23" s="19">
        <v>46524</v>
      </c>
      <c r="V23" s="191"/>
      <c r="W23" s="49">
        <v>46245</v>
      </c>
      <c r="X23" s="19" t="s">
        <v>7</v>
      </c>
      <c r="Y23" s="19" t="s">
        <v>7</v>
      </c>
      <c r="Z23" s="20">
        <v>46247</v>
      </c>
      <c r="AA23" s="20">
        <v>46248</v>
      </c>
      <c r="AB23" s="262">
        <v>46275</v>
      </c>
      <c r="AC23" s="263">
        <v>46293</v>
      </c>
      <c r="AD23" s="19">
        <v>46419</v>
      </c>
      <c r="AE23" s="20" t="s">
        <v>222</v>
      </c>
      <c r="AF23" s="19">
        <v>46487</v>
      </c>
      <c r="AG23" s="19">
        <v>46524</v>
      </c>
      <c r="AY23" s="17"/>
      <c r="AZ23" s="19">
        <v>46614</v>
      </c>
      <c r="BA23" s="17" t="s">
        <v>408</v>
      </c>
      <c r="BB23" s="17"/>
      <c r="BC23" s="17"/>
      <c r="BD23" s="17"/>
      <c r="BE23" s="17"/>
      <c r="BG23" s="5"/>
      <c r="BH23" s="134">
        <f t="shared" si="11"/>
        <v>0</v>
      </c>
      <c r="BI23" s="134" t="str">
        <f t="shared" si="12"/>
        <v>0</v>
      </c>
      <c r="BJ23" s="134" t="str">
        <f t="shared" si="13"/>
        <v>0</v>
      </c>
      <c r="BK23" s="134">
        <f t="shared" si="14"/>
        <v>0</v>
      </c>
      <c r="BL23" s="134">
        <f t="shared" si="15"/>
        <v>0</v>
      </c>
      <c r="BM23" s="134">
        <f t="shared" si="16"/>
        <v>0</v>
      </c>
      <c r="BN23" s="134">
        <f t="shared" si="17"/>
        <v>-8</v>
      </c>
      <c r="BO23" s="134">
        <f t="shared" si="18"/>
        <v>0</v>
      </c>
      <c r="BP23" s="134" t="str">
        <f t="shared" si="19"/>
        <v>0</v>
      </c>
      <c r="BQ23" s="134">
        <f t="shared" si="20"/>
        <v>0</v>
      </c>
      <c r="BR23" s="134">
        <f t="shared" si="21"/>
        <v>0</v>
      </c>
      <c r="BS23" s="5"/>
    </row>
    <row r="24" spans="1:71" ht="19" customHeight="1">
      <c r="A24" s="8" t="s">
        <v>199</v>
      </c>
      <c r="B24" s="84" t="s">
        <v>261</v>
      </c>
      <c r="C24" s="8" t="s">
        <v>37</v>
      </c>
      <c r="D24" s="72" t="s">
        <v>181</v>
      </c>
      <c r="E24" s="64">
        <v>16540</v>
      </c>
      <c r="F24" s="8" t="s">
        <v>229</v>
      </c>
      <c r="G24" s="257"/>
      <c r="H24" s="256">
        <v>1845</v>
      </c>
      <c r="I24" s="256">
        <v>5490</v>
      </c>
      <c r="J24" s="9">
        <v>8436</v>
      </c>
      <c r="K24" s="145">
        <v>46350</v>
      </c>
      <c r="L24" s="20">
        <v>45689</v>
      </c>
      <c r="M24" s="20">
        <v>45698</v>
      </c>
      <c r="N24" s="19">
        <v>46351</v>
      </c>
      <c r="O24" s="145">
        <v>46372</v>
      </c>
      <c r="P24" s="19">
        <v>46373</v>
      </c>
      <c r="Q24" s="145">
        <v>46403</v>
      </c>
      <c r="R24" s="19">
        <v>46427</v>
      </c>
      <c r="S24" s="20" t="s">
        <v>222</v>
      </c>
      <c r="T24" s="19">
        <v>46497</v>
      </c>
      <c r="U24" s="19">
        <v>46532</v>
      </c>
      <c r="V24" s="191"/>
      <c r="W24" s="145">
        <v>46350</v>
      </c>
      <c r="X24" s="20">
        <v>45689</v>
      </c>
      <c r="Y24" s="20">
        <v>45698</v>
      </c>
      <c r="Z24" s="19">
        <v>46351</v>
      </c>
      <c r="AA24" s="145">
        <v>46372</v>
      </c>
      <c r="AB24" s="19">
        <v>46373</v>
      </c>
      <c r="AC24" s="145">
        <v>46403</v>
      </c>
      <c r="AD24" s="19">
        <v>46427</v>
      </c>
      <c r="AE24" s="20" t="s">
        <v>222</v>
      </c>
      <c r="AF24" s="19">
        <v>46497</v>
      </c>
      <c r="AG24" s="19">
        <v>46532</v>
      </c>
      <c r="AY24" s="17"/>
      <c r="AZ24" s="19">
        <v>46644</v>
      </c>
      <c r="BA24" s="17" t="s">
        <v>408</v>
      </c>
      <c r="BB24" s="17"/>
      <c r="BC24" s="17"/>
      <c r="BD24" s="17"/>
      <c r="BE24" s="17"/>
      <c r="BG24" s="5"/>
      <c r="BH24" s="134">
        <f t="shared" ref="BH24:BH27" si="22">IFERROR(K24-W24,"0")</f>
        <v>0</v>
      </c>
      <c r="BI24" s="134">
        <f t="shared" ref="BI24:BI28" si="23">IFERROR(L24-X24,"0")</f>
        <v>0</v>
      </c>
      <c r="BJ24" s="134">
        <f t="shared" ref="BJ24:BJ28" si="24">IFERROR(M24-Y24,"0")</f>
        <v>0</v>
      </c>
      <c r="BK24" s="134">
        <f t="shared" ref="BK24:BK28" si="25">IFERROR(N24-Z24,"0")</f>
        <v>0</v>
      </c>
      <c r="BL24" s="134">
        <f t="shared" ref="BL24:BL28" si="26">IFERROR(O24-AA24,"0")</f>
        <v>0</v>
      </c>
      <c r="BM24" s="134">
        <f t="shared" ref="BM24:BM28" si="27">IFERROR(P24-AB24,"0")</f>
        <v>0</v>
      </c>
      <c r="BN24" s="134">
        <f t="shared" ref="BN24:BN28" si="28">IFERROR(Q24-AC24,"0")</f>
        <v>0</v>
      </c>
      <c r="BO24" s="134">
        <f t="shared" ref="BO24:BO28" si="29">IFERROR(R24-AD24,"0")</f>
        <v>0</v>
      </c>
      <c r="BP24" s="134" t="str">
        <f t="shared" ref="BP24:BP28" si="30">IFERROR(S24-AE24,"0")</f>
        <v>0</v>
      </c>
      <c r="BQ24" s="134">
        <f t="shared" ref="BQ24:BQ28" si="31">IFERROR(T24-AF24,"0")</f>
        <v>0</v>
      </c>
      <c r="BR24" s="134">
        <f t="shared" ref="BR24:BR28" si="32">IFERROR(U24-AG24,"0")</f>
        <v>0</v>
      </c>
      <c r="BS24" s="5"/>
    </row>
    <row r="25" spans="1:71" ht="19" customHeight="1">
      <c r="A25" s="8" t="s">
        <v>199</v>
      </c>
      <c r="B25" s="85" t="s">
        <v>262</v>
      </c>
      <c r="C25" s="8" t="s">
        <v>30</v>
      </c>
      <c r="D25" s="9" t="s">
        <v>31</v>
      </c>
      <c r="E25" s="64">
        <v>13464</v>
      </c>
      <c r="F25" s="8" t="s">
        <v>228</v>
      </c>
      <c r="G25" s="257"/>
      <c r="H25" s="257"/>
      <c r="I25" s="256">
        <v>2508</v>
      </c>
      <c r="J25" s="48">
        <v>6545</v>
      </c>
      <c r="K25" s="49">
        <v>46253</v>
      </c>
      <c r="L25" s="19" t="s">
        <v>7</v>
      </c>
      <c r="M25" s="19" t="s">
        <v>7</v>
      </c>
      <c r="N25" s="20">
        <v>46259</v>
      </c>
      <c r="O25" s="20">
        <v>46262</v>
      </c>
      <c r="P25" s="19">
        <v>46307</v>
      </c>
      <c r="Q25" s="19">
        <v>46325</v>
      </c>
      <c r="R25" s="19">
        <v>46434</v>
      </c>
      <c r="S25" s="20" t="s">
        <v>222</v>
      </c>
      <c r="T25" s="19">
        <v>46507</v>
      </c>
      <c r="U25" s="19">
        <v>46538</v>
      </c>
      <c r="V25" s="191"/>
      <c r="W25" s="49">
        <v>46253</v>
      </c>
      <c r="X25" s="19" t="s">
        <v>7</v>
      </c>
      <c r="Y25" s="19" t="s">
        <v>7</v>
      </c>
      <c r="Z25" s="20">
        <v>46259</v>
      </c>
      <c r="AA25" s="20">
        <v>46262</v>
      </c>
      <c r="AB25" s="19">
        <v>46307</v>
      </c>
      <c r="AC25" s="19">
        <v>46325</v>
      </c>
      <c r="AD25" s="19">
        <v>46434</v>
      </c>
      <c r="AE25" s="20" t="s">
        <v>222</v>
      </c>
      <c r="AF25" s="19">
        <v>46507</v>
      </c>
      <c r="AG25" s="19">
        <v>46538</v>
      </c>
      <c r="AY25" s="17"/>
      <c r="AZ25" s="19">
        <v>46662</v>
      </c>
      <c r="BA25" s="17" t="s">
        <v>408</v>
      </c>
      <c r="BB25" s="17"/>
      <c r="BC25" s="17"/>
      <c r="BD25" s="17"/>
      <c r="BE25" s="17"/>
      <c r="BG25" s="5"/>
      <c r="BH25" s="134">
        <f t="shared" si="22"/>
        <v>0</v>
      </c>
      <c r="BI25" s="134" t="str">
        <f t="shared" si="23"/>
        <v>0</v>
      </c>
      <c r="BJ25" s="134" t="str">
        <f t="shared" si="24"/>
        <v>0</v>
      </c>
      <c r="BK25" s="134">
        <f t="shared" si="25"/>
        <v>0</v>
      </c>
      <c r="BL25" s="134">
        <f t="shared" si="26"/>
        <v>0</v>
      </c>
      <c r="BM25" s="134">
        <f t="shared" si="27"/>
        <v>0</v>
      </c>
      <c r="BN25" s="134">
        <f t="shared" si="28"/>
        <v>0</v>
      </c>
      <c r="BO25" s="134">
        <f t="shared" si="29"/>
        <v>0</v>
      </c>
      <c r="BP25" s="134" t="str">
        <f t="shared" si="30"/>
        <v>0</v>
      </c>
      <c r="BQ25" s="134">
        <f t="shared" si="31"/>
        <v>0</v>
      </c>
      <c r="BR25" s="134">
        <f t="shared" si="32"/>
        <v>0</v>
      </c>
      <c r="BS25" s="5"/>
    </row>
    <row r="26" spans="1:71" ht="19" customHeight="1">
      <c r="A26" s="8" t="s">
        <v>199</v>
      </c>
      <c r="B26" s="85" t="s">
        <v>262</v>
      </c>
      <c r="C26" s="8" t="s">
        <v>24</v>
      </c>
      <c r="D26" s="72" t="s">
        <v>25</v>
      </c>
      <c r="E26" s="64">
        <v>5848</v>
      </c>
      <c r="F26" s="8" t="s">
        <v>382</v>
      </c>
      <c r="G26" s="257"/>
      <c r="H26" s="257"/>
      <c r="I26" s="257"/>
      <c r="J26" s="48">
        <v>2920</v>
      </c>
      <c r="K26" s="49">
        <v>46259</v>
      </c>
      <c r="L26" s="20">
        <v>45602</v>
      </c>
      <c r="M26" s="20">
        <v>45604</v>
      </c>
      <c r="N26" s="20">
        <v>46260</v>
      </c>
      <c r="O26" s="20">
        <v>46263</v>
      </c>
      <c r="P26" s="49">
        <v>46281</v>
      </c>
      <c r="Q26" s="312">
        <v>46284</v>
      </c>
      <c r="R26" s="19">
        <v>46435</v>
      </c>
      <c r="S26" s="20" t="s">
        <v>222</v>
      </c>
      <c r="T26" s="19">
        <v>46512</v>
      </c>
      <c r="U26" s="19">
        <v>46542</v>
      </c>
      <c r="V26" s="191"/>
      <c r="W26" s="49">
        <v>46259</v>
      </c>
      <c r="X26" s="20">
        <v>45602</v>
      </c>
      <c r="Y26" s="20">
        <v>45604</v>
      </c>
      <c r="Z26" s="20">
        <v>46260</v>
      </c>
      <c r="AA26" s="20">
        <v>46263</v>
      </c>
      <c r="AB26" s="19">
        <v>46280</v>
      </c>
      <c r="AC26" s="19">
        <v>46295</v>
      </c>
      <c r="AD26" s="19">
        <v>46435</v>
      </c>
      <c r="AE26" s="20" t="s">
        <v>222</v>
      </c>
      <c r="AF26" s="19">
        <v>46512</v>
      </c>
      <c r="AG26" s="19">
        <v>46542</v>
      </c>
      <c r="AY26" s="17"/>
      <c r="AZ26" s="19">
        <v>46680</v>
      </c>
      <c r="BA26" s="17" t="s">
        <v>408</v>
      </c>
      <c r="BB26" s="17"/>
      <c r="BC26" s="17"/>
      <c r="BD26" s="17"/>
      <c r="BE26" s="17"/>
      <c r="BG26" s="5"/>
      <c r="BH26" s="134">
        <f t="shared" si="22"/>
        <v>0</v>
      </c>
      <c r="BI26" s="134">
        <f t="shared" si="23"/>
        <v>0</v>
      </c>
      <c r="BJ26" s="134">
        <f t="shared" si="24"/>
        <v>0</v>
      </c>
      <c r="BK26" s="134">
        <f t="shared" si="25"/>
        <v>0</v>
      </c>
      <c r="BL26" s="134">
        <f t="shared" si="26"/>
        <v>0</v>
      </c>
      <c r="BM26" s="134">
        <f t="shared" si="27"/>
        <v>1</v>
      </c>
      <c r="BN26" s="134">
        <f t="shared" si="28"/>
        <v>-11</v>
      </c>
      <c r="BO26" s="134">
        <f t="shared" si="29"/>
        <v>0</v>
      </c>
      <c r="BP26" s="134" t="str">
        <f t="shared" si="30"/>
        <v>0</v>
      </c>
      <c r="BQ26" s="134">
        <f t="shared" si="31"/>
        <v>0</v>
      </c>
      <c r="BR26" s="134">
        <f t="shared" si="32"/>
        <v>0</v>
      </c>
      <c r="BS26" s="5"/>
    </row>
    <row r="27" spans="1:71" ht="19" customHeight="1">
      <c r="A27" s="8" t="s">
        <v>199</v>
      </c>
      <c r="B27" s="85" t="s">
        <v>262</v>
      </c>
      <c r="C27" s="8" t="s">
        <v>28</v>
      </c>
      <c r="D27" s="72" t="s">
        <v>29</v>
      </c>
      <c r="E27" s="64">
        <v>8948</v>
      </c>
      <c r="F27" s="8" t="s">
        <v>382</v>
      </c>
      <c r="G27" s="257"/>
      <c r="H27" s="255">
        <v>2408</v>
      </c>
      <c r="I27" s="256">
        <v>718</v>
      </c>
      <c r="J27" s="48">
        <v>5554</v>
      </c>
      <c r="K27" s="49">
        <v>46272</v>
      </c>
      <c r="L27" s="20">
        <v>45604</v>
      </c>
      <c r="M27" s="20">
        <v>45614</v>
      </c>
      <c r="N27" s="262">
        <v>46282</v>
      </c>
      <c r="O27" s="262">
        <v>46296</v>
      </c>
      <c r="P27" s="19">
        <v>46300</v>
      </c>
      <c r="Q27" s="19">
        <v>46321</v>
      </c>
      <c r="R27" s="19">
        <v>46437</v>
      </c>
      <c r="S27" s="20" t="s">
        <v>222</v>
      </c>
      <c r="T27" s="19">
        <v>46518</v>
      </c>
      <c r="U27" s="19">
        <v>46544</v>
      </c>
      <c r="V27" s="191"/>
      <c r="W27" s="49">
        <v>46272</v>
      </c>
      <c r="X27" s="20">
        <v>45604</v>
      </c>
      <c r="Y27" s="20">
        <v>45614</v>
      </c>
      <c r="Z27" s="19">
        <v>46280</v>
      </c>
      <c r="AA27" s="19">
        <v>46296</v>
      </c>
      <c r="AB27" s="19">
        <v>46300</v>
      </c>
      <c r="AC27" s="19">
        <v>46321</v>
      </c>
      <c r="AD27" s="19">
        <v>46437</v>
      </c>
      <c r="AE27" s="20" t="s">
        <v>222</v>
      </c>
      <c r="AF27" s="19">
        <v>46518</v>
      </c>
      <c r="AG27" s="19">
        <v>46544</v>
      </c>
      <c r="AY27" s="17"/>
      <c r="AZ27" s="19">
        <v>46700</v>
      </c>
      <c r="BA27" s="17" t="s">
        <v>408</v>
      </c>
      <c r="BB27" s="17"/>
      <c r="BC27" s="17"/>
      <c r="BD27" s="17"/>
      <c r="BE27" s="17"/>
      <c r="BG27" s="5"/>
      <c r="BH27" s="134">
        <f t="shared" si="22"/>
        <v>0</v>
      </c>
      <c r="BI27" s="134">
        <f t="shared" si="23"/>
        <v>0</v>
      </c>
      <c r="BJ27" s="134">
        <f t="shared" si="24"/>
        <v>0</v>
      </c>
      <c r="BK27" s="134">
        <f t="shared" si="25"/>
        <v>2</v>
      </c>
      <c r="BL27" s="134">
        <f t="shared" si="26"/>
        <v>0</v>
      </c>
      <c r="BM27" s="134">
        <f t="shared" si="27"/>
        <v>0</v>
      </c>
      <c r="BN27" s="134">
        <f t="shared" si="28"/>
        <v>0</v>
      </c>
      <c r="BO27" s="134">
        <f t="shared" si="29"/>
        <v>0</v>
      </c>
      <c r="BP27" s="134" t="str">
        <f t="shared" si="30"/>
        <v>0</v>
      </c>
      <c r="BQ27" s="134">
        <f t="shared" si="31"/>
        <v>0</v>
      </c>
      <c r="BR27" s="134">
        <f t="shared" si="32"/>
        <v>0</v>
      </c>
      <c r="BS27" s="5"/>
    </row>
    <row r="28" spans="1:71" ht="19" customHeight="1">
      <c r="A28" s="8" t="s">
        <v>199</v>
      </c>
      <c r="B28" s="85" t="s">
        <v>262</v>
      </c>
      <c r="C28" s="8" t="s">
        <v>26</v>
      </c>
      <c r="D28" s="9" t="s">
        <v>27</v>
      </c>
      <c r="E28" s="64">
        <v>13424</v>
      </c>
      <c r="F28" s="8" t="s">
        <v>228</v>
      </c>
      <c r="G28" s="257"/>
      <c r="H28" s="255">
        <v>226</v>
      </c>
      <c r="I28" s="256">
        <v>318</v>
      </c>
      <c r="J28" s="48">
        <v>3840</v>
      </c>
      <c r="K28" s="49">
        <v>46276</v>
      </c>
      <c r="L28" s="19" t="s">
        <v>7</v>
      </c>
      <c r="M28" s="19" t="s">
        <v>7</v>
      </c>
      <c r="N28" s="262">
        <v>46282</v>
      </c>
      <c r="O28" s="262">
        <v>46299</v>
      </c>
      <c r="P28" s="19">
        <v>46302</v>
      </c>
      <c r="Q28" s="19">
        <v>46326</v>
      </c>
      <c r="R28" s="145">
        <v>46437</v>
      </c>
      <c r="S28" s="20" t="s">
        <v>222</v>
      </c>
      <c r="T28" s="19">
        <v>46523</v>
      </c>
      <c r="U28" s="145">
        <v>46546</v>
      </c>
      <c r="V28" s="191"/>
      <c r="W28" s="49">
        <v>46276</v>
      </c>
      <c r="X28" s="19" t="s">
        <v>7</v>
      </c>
      <c r="Y28" s="19" t="s">
        <v>7</v>
      </c>
      <c r="Z28" s="19">
        <v>46280</v>
      </c>
      <c r="AA28" s="19">
        <v>46299</v>
      </c>
      <c r="AB28" s="19">
        <v>46302</v>
      </c>
      <c r="AC28" s="19">
        <v>46326</v>
      </c>
      <c r="AD28" s="145">
        <v>46437</v>
      </c>
      <c r="AE28" s="20" t="s">
        <v>222</v>
      </c>
      <c r="AF28" s="19">
        <v>46523</v>
      </c>
      <c r="AG28" s="145">
        <v>46546</v>
      </c>
      <c r="AY28" s="17"/>
      <c r="AZ28" s="19">
        <v>46746</v>
      </c>
      <c r="BA28" s="17" t="s">
        <v>408</v>
      </c>
      <c r="BB28" s="17"/>
      <c r="BC28" s="17"/>
      <c r="BD28" s="17"/>
      <c r="BE28" s="17"/>
      <c r="BG28" s="5"/>
      <c r="BH28" s="134">
        <f>IFERROR(K28-W28,"0")</f>
        <v>0</v>
      </c>
      <c r="BI28" s="134" t="str">
        <f t="shared" si="23"/>
        <v>0</v>
      </c>
      <c r="BJ28" s="134" t="str">
        <f t="shared" si="24"/>
        <v>0</v>
      </c>
      <c r="BK28" s="134">
        <f t="shared" si="25"/>
        <v>2</v>
      </c>
      <c r="BL28" s="134">
        <f t="shared" si="26"/>
        <v>0</v>
      </c>
      <c r="BM28" s="134">
        <f t="shared" si="27"/>
        <v>0</v>
      </c>
      <c r="BN28" s="134">
        <f t="shared" si="28"/>
        <v>0</v>
      </c>
      <c r="BO28" s="134">
        <f t="shared" si="29"/>
        <v>0</v>
      </c>
      <c r="BP28" s="134" t="str">
        <f t="shared" si="30"/>
        <v>0</v>
      </c>
      <c r="BQ28" s="134">
        <f t="shared" si="31"/>
        <v>0</v>
      </c>
      <c r="BR28" s="134">
        <f t="shared" si="32"/>
        <v>0</v>
      </c>
      <c r="BS28" s="5"/>
    </row>
    <row r="29" spans="1:71" ht="19" customHeight="1">
      <c r="A29" s="8" t="s">
        <v>425</v>
      </c>
      <c r="B29" s="8" t="s">
        <v>429</v>
      </c>
      <c r="C29" s="8" t="s">
        <v>472</v>
      </c>
      <c r="D29" s="8" t="s">
        <v>473</v>
      </c>
      <c r="E29" s="2">
        <v>7632.6118910981922</v>
      </c>
      <c r="F29" s="9" t="s">
        <v>221</v>
      </c>
      <c r="G29" s="256">
        <v>237</v>
      </c>
      <c r="H29" s="256">
        <v>676</v>
      </c>
      <c r="I29" s="256">
        <v>843</v>
      </c>
      <c r="J29" s="48">
        <v>608</v>
      </c>
      <c r="K29" s="19">
        <v>46594</v>
      </c>
      <c r="L29" s="19">
        <v>46579</v>
      </c>
      <c r="M29" s="19">
        <v>46589</v>
      </c>
      <c r="N29" s="19">
        <v>46595</v>
      </c>
      <c r="O29" s="19">
        <v>46609</v>
      </c>
      <c r="P29" s="19">
        <v>46610</v>
      </c>
      <c r="Q29" s="19">
        <v>46635</v>
      </c>
      <c r="R29" s="19">
        <v>46719</v>
      </c>
      <c r="S29" s="21" t="s">
        <v>223</v>
      </c>
      <c r="T29" s="19">
        <v>46720</v>
      </c>
      <c r="U29" s="19">
        <v>46735</v>
      </c>
      <c r="V29" s="191"/>
      <c r="W29" s="19">
        <v>46594</v>
      </c>
      <c r="X29" s="19">
        <v>46579</v>
      </c>
      <c r="Y29" s="19">
        <v>46589</v>
      </c>
      <c r="Z29" s="19">
        <v>46595</v>
      </c>
      <c r="AA29" s="19">
        <v>46609</v>
      </c>
      <c r="AB29" s="19">
        <v>46610</v>
      </c>
      <c r="AC29" s="19">
        <v>46635</v>
      </c>
      <c r="AD29" s="19">
        <v>46719</v>
      </c>
      <c r="AE29" s="21" t="s">
        <v>223</v>
      </c>
      <c r="AF29" s="19">
        <v>46720</v>
      </c>
      <c r="AG29" s="19">
        <v>46735</v>
      </c>
      <c r="AY29" s="17"/>
      <c r="AZ29" s="236">
        <v>46753</v>
      </c>
      <c r="BA29" s="17" t="s">
        <v>408</v>
      </c>
      <c r="BB29" s="17"/>
      <c r="BC29" s="17"/>
      <c r="BD29" s="17"/>
      <c r="BE29" s="17"/>
      <c r="BG29" s="5"/>
      <c r="BH29" s="134">
        <f t="shared" ref="BH29:BH54" si="33">IFERROR(K29-W29,"0")</f>
        <v>0</v>
      </c>
      <c r="BI29" s="134">
        <f t="shared" ref="BI29:BI54" si="34">IFERROR(L29-X29,"0")</f>
        <v>0</v>
      </c>
      <c r="BJ29" s="134">
        <f t="shared" ref="BJ29:BJ54" si="35">IFERROR(M29-Y29,"0")</f>
        <v>0</v>
      </c>
      <c r="BK29" s="134">
        <f t="shared" ref="BK29:BK54" si="36">IFERROR(N29-Z29,"0")</f>
        <v>0</v>
      </c>
      <c r="BL29" s="134">
        <f t="shared" ref="BL29:BL54" si="37">IFERROR(O29-AA29,"0")</f>
        <v>0</v>
      </c>
      <c r="BM29" s="134">
        <f t="shared" ref="BM29:BM54" si="38">IFERROR(P29-AB29,"0")</f>
        <v>0</v>
      </c>
      <c r="BN29" s="134">
        <f t="shared" ref="BN29:BN54" si="39">IFERROR(Q29-AC29,"0")</f>
        <v>0</v>
      </c>
      <c r="BO29" s="134">
        <f t="shared" ref="BO29:BO54" si="40">IFERROR(R29-AD29,"0")</f>
        <v>0</v>
      </c>
      <c r="BP29" s="134" t="str">
        <f t="shared" ref="BP29:BP54" si="41">IFERROR(S29-AE29,"0")</f>
        <v>0</v>
      </c>
      <c r="BQ29" s="134">
        <f t="shared" ref="BQ29:BQ54" si="42">IFERROR(T29-AF29,"0")</f>
        <v>0</v>
      </c>
      <c r="BR29" s="134">
        <f t="shared" ref="BR29:BR54" si="43">IFERROR(U29-AG29,"0")</f>
        <v>0</v>
      </c>
      <c r="BS29" s="5"/>
    </row>
    <row r="30" spans="1:71" ht="19" customHeight="1">
      <c r="A30" s="8" t="s">
        <v>425</v>
      </c>
      <c r="B30" s="8" t="s">
        <v>429</v>
      </c>
      <c r="C30" s="8" t="s">
        <v>474</v>
      </c>
      <c r="D30" s="8" t="s">
        <v>475</v>
      </c>
      <c r="E30" s="2">
        <v>11419.855856456121</v>
      </c>
      <c r="F30" s="9" t="s">
        <v>221</v>
      </c>
      <c r="G30" s="256">
        <v>405</v>
      </c>
      <c r="H30" s="256">
        <v>1155</v>
      </c>
      <c r="I30" s="256">
        <v>1441</v>
      </c>
      <c r="J30" s="48">
        <v>1037</v>
      </c>
      <c r="K30" s="19">
        <v>46627</v>
      </c>
      <c r="L30" s="19">
        <v>46612</v>
      </c>
      <c r="M30" s="19">
        <v>46622</v>
      </c>
      <c r="N30" s="19">
        <v>46628</v>
      </c>
      <c r="O30" s="19">
        <v>46642</v>
      </c>
      <c r="P30" s="19">
        <v>46643</v>
      </c>
      <c r="Q30" s="19">
        <v>46668</v>
      </c>
      <c r="R30" s="19">
        <v>46739</v>
      </c>
      <c r="S30" s="21" t="s">
        <v>223</v>
      </c>
      <c r="T30" s="19">
        <v>46740</v>
      </c>
      <c r="U30" s="19">
        <v>46762</v>
      </c>
      <c r="V30" s="191"/>
      <c r="W30" s="19">
        <v>46627</v>
      </c>
      <c r="X30" s="19">
        <v>46612</v>
      </c>
      <c r="Y30" s="19">
        <v>46622</v>
      </c>
      <c r="Z30" s="19">
        <v>46628</v>
      </c>
      <c r="AA30" s="19">
        <v>46642</v>
      </c>
      <c r="AB30" s="19">
        <v>46643</v>
      </c>
      <c r="AC30" s="19">
        <v>46668</v>
      </c>
      <c r="AD30" s="19">
        <v>46739</v>
      </c>
      <c r="AE30" s="21" t="s">
        <v>223</v>
      </c>
      <c r="AF30" s="19">
        <v>46740</v>
      </c>
      <c r="AG30" s="19">
        <v>46762</v>
      </c>
      <c r="AY30" s="17"/>
      <c r="AZ30" s="237">
        <v>46778</v>
      </c>
      <c r="BA30" s="17" t="s">
        <v>408</v>
      </c>
      <c r="BB30" s="17"/>
      <c r="BC30" s="17"/>
      <c r="BD30" s="17"/>
      <c r="BE30" s="17"/>
      <c r="BG30" s="5"/>
      <c r="BH30" s="134">
        <f t="shared" si="33"/>
        <v>0</v>
      </c>
      <c r="BI30" s="134">
        <f t="shared" si="34"/>
        <v>0</v>
      </c>
      <c r="BJ30" s="134">
        <f t="shared" si="35"/>
        <v>0</v>
      </c>
      <c r="BK30" s="134">
        <f t="shared" si="36"/>
        <v>0</v>
      </c>
      <c r="BL30" s="134">
        <f t="shared" si="37"/>
        <v>0</v>
      </c>
      <c r="BM30" s="134">
        <f t="shared" si="38"/>
        <v>0</v>
      </c>
      <c r="BN30" s="134">
        <f t="shared" si="39"/>
        <v>0</v>
      </c>
      <c r="BO30" s="134">
        <f t="shared" si="40"/>
        <v>0</v>
      </c>
      <c r="BP30" s="134" t="str">
        <f t="shared" si="41"/>
        <v>0</v>
      </c>
      <c r="BQ30" s="134">
        <f t="shared" si="42"/>
        <v>0</v>
      </c>
      <c r="BR30" s="134">
        <f t="shared" si="43"/>
        <v>0</v>
      </c>
      <c r="BS30" s="5"/>
    </row>
    <row r="31" spans="1:71" ht="19" customHeight="1">
      <c r="A31" s="8" t="s">
        <v>425</v>
      </c>
      <c r="B31" s="8" t="s">
        <v>429</v>
      </c>
      <c r="C31" s="8" t="s">
        <v>476</v>
      </c>
      <c r="D31" s="8" t="s">
        <v>477</v>
      </c>
      <c r="E31" s="2">
        <v>21126.636355858969</v>
      </c>
      <c r="F31" s="9" t="s">
        <v>221</v>
      </c>
      <c r="G31" s="256">
        <v>697</v>
      </c>
      <c r="H31" s="256">
        <v>1985.0000000000002</v>
      </c>
      <c r="I31" s="256">
        <v>2478</v>
      </c>
      <c r="J31" s="48">
        <v>1781</v>
      </c>
      <c r="K31" s="19">
        <v>46639</v>
      </c>
      <c r="L31" s="19">
        <v>46624</v>
      </c>
      <c r="M31" s="19">
        <v>46634</v>
      </c>
      <c r="N31" s="19">
        <v>46640</v>
      </c>
      <c r="O31" s="19">
        <v>46654</v>
      </c>
      <c r="P31" s="19">
        <v>46655</v>
      </c>
      <c r="Q31" s="19">
        <v>46679</v>
      </c>
      <c r="R31" s="19">
        <v>46754</v>
      </c>
      <c r="S31" s="21" t="s">
        <v>223</v>
      </c>
      <c r="T31" s="19">
        <v>46756</v>
      </c>
      <c r="U31" s="19">
        <v>46777</v>
      </c>
      <c r="V31" s="191"/>
      <c r="W31" s="19">
        <v>46639</v>
      </c>
      <c r="X31" s="19">
        <v>46624</v>
      </c>
      <c r="Y31" s="19">
        <v>46634</v>
      </c>
      <c r="Z31" s="19">
        <v>46640</v>
      </c>
      <c r="AA31" s="19">
        <v>46654</v>
      </c>
      <c r="AB31" s="19">
        <v>46655</v>
      </c>
      <c r="AC31" s="19">
        <v>46679</v>
      </c>
      <c r="AD31" s="19">
        <v>46754</v>
      </c>
      <c r="AE31" s="21" t="s">
        <v>223</v>
      </c>
      <c r="AF31" s="19">
        <v>46756</v>
      </c>
      <c r="AG31" s="19">
        <v>46777</v>
      </c>
      <c r="AY31" s="17"/>
      <c r="AZ31" s="237">
        <v>46846</v>
      </c>
      <c r="BA31" s="17" t="s">
        <v>408</v>
      </c>
      <c r="BB31" s="17"/>
      <c r="BC31" s="17"/>
      <c r="BD31" s="17"/>
      <c r="BE31" s="17"/>
      <c r="BG31" s="5"/>
      <c r="BH31" s="134">
        <f t="shared" si="33"/>
        <v>0</v>
      </c>
      <c r="BI31" s="134">
        <f t="shared" si="34"/>
        <v>0</v>
      </c>
      <c r="BJ31" s="134">
        <f t="shared" si="35"/>
        <v>0</v>
      </c>
      <c r="BK31" s="134">
        <f t="shared" si="36"/>
        <v>0</v>
      </c>
      <c r="BL31" s="134">
        <f t="shared" si="37"/>
        <v>0</v>
      </c>
      <c r="BM31" s="134">
        <f t="shared" si="38"/>
        <v>0</v>
      </c>
      <c r="BN31" s="134">
        <f t="shared" si="39"/>
        <v>0</v>
      </c>
      <c r="BO31" s="134">
        <f t="shared" si="40"/>
        <v>0</v>
      </c>
      <c r="BP31" s="134" t="str">
        <f t="shared" si="41"/>
        <v>0</v>
      </c>
      <c r="BQ31" s="134">
        <f t="shared" si="42"/>
        <v>0</v>
      </c>
      <c r="BR31" s="134">
        <f t="shared" si="43"/>
        <v>0</v>
      </c>
      <c r="BS31" s="5"/>
    </row>
    <row r="32" spans="1:71" ht="19" customHeight="1">
      <c r="A32" s="8" t="s">
        <v>425</v>
      </c>
      <c r="B32" s="8" t="s">
        <v>429</v>
      </c>
      <c r="C32" s="8" t="s">
        <v>478</v>
      </c>
      <c r="D32" s="8" t="s">
        <v>479</v>
      </c>
      <c r="E32" s="2">
        <v>20891.286292600496</v>
      </c>
      <c r="F32" s="9" t="s">
        <v>221</v>
      </c>
      <c r="G32" s="256">
        <v>630</v>
      </c>
      <c r="H32" s="256">
        <v>1793</v>
      </c>
      <c r="I32" s="256">
        <v>2239</v>
      </c>
      <c r="J32" s="48">
        <v>1611</v>
      </c>
      <c r="K32" s="19">
        <v>46651</v>
      </c>
      <c r="L32" s="19">
        <v>46636</v>
      </c>
      <c r="M32" s="19">
        <v>46646</v>
      </c>
      <c r="N32" s="19">
        <v>46652</v>
      </c>
      <c r="O32" s="19">
        <v>46666</v>
      </c>
      <c r="P32" s="19">
        <v>46667</v>
      </c>
      <c r="Q32" s="19">
        <v>46692</v>
      </c>
      <c r="R32" s="19">
        <v>46766</v>
      </c>
      <c r="S32" s="21" t="s">
        <v>223</v>
      </c>
      <c r="T32" s="19">
        <v>46768</v>
      </c>
      <c r="U32" s="19">
        <v>46790</v>
      </c>
      <c r="V32" s="191"/>
      <c r="W32" s="19">
        <v>46651</v>
      </c>
      <c r="X32" s="19">
        <v>46636</v>
      </c>
      <c r="Y32" s="19">
        <v>46646</v>
      </c>
      <c r="Z32" s="19">
        <v>46652</v>
      </c>
      <c r="AA32" s="19">
        <v>46666</v>
      </c>
      <c r="AB32" s="19">
        <v>46667</v>
      </c>
      <c r="AC32" s="19">
        <v>46692</v>
      </c>
      <c r="AD32" s="19">
        <v>46766</v>
      </c>
      <c r="AE32" s="21" t="s">
        <v>223</v>
      </c>
      <c r="AF32" s="19">
        <v>46768</v>
      </c>
      <c r="AG32" s="19">
        <v>46790</v>
      </c>
      <c r="AY32" s="17"/>
      <c r="AZ32" s="237">
        <v>46874</v>
      </c>
      <c r="BA32" s="17" t="s">
        <v>408</v>
      </c>
      <c r="BB32" s="17"/>
      <c r="BC32" s="17"/>
      <c r="BD32" s="17"/>
      <c r="BE32" s="17"/>
      <c r="BG32" s="5"/>
      <c r="BH32" s="134">
        <f t="shared" si="33"/>
        <v>0</v>
      </c>
      <c r="BI32" s="134">
        <f t="shared" si="34"/>
        <v>0</v>
      </c>
      <c r="BJ32" s="134">
        <f t="shared" si="35"/>
        <v>0</v>
      </c>
      <c r="BK32" s="134">
        <f t="shared" si="36"/>
        <v>0</v>
      </c>
      <c r="BL32" s="134">
        <f t="shared" si="37"/>
        <v>0</v>
      </c>
      <c r="BM32" s="134">
        <f t="shared" si="38"/>
        <v>0</v>
      </c>
      <c r="BN32" s="134">
        <f t="shared" si="39"/>
        <v>0</v>
      </c>
      <c r="BO32" s="134">
        <f t="shared" si="40"/>
        <v>0</v>
      </c>
      <c r="BP32" s="134" t="str">
        <f t="shared" si="41"/>
        <v>0</v>
      </c>
      <c r="BQ32" s="134">
        <f t="shared" si="42"/>
        <v>0</v>
      </c>
      <c r="BR32" s="134">
        <f t="shared" si="43"/>
        <v>0</v>
      </c>
      <c r="BS32" s="5"/>
    </row>
    <row r="33" spans="1:71" ht="19" customHeight="1">
      <c r="A33" s="8" t="s">
        <v>425</v>
      </c>
      <c r="B33" s="8" t="s">
        <v>429</v>
      </c>
      <c r="C33" s="8" t="s">
        <v>480</v>
      </c>
      <c r="D33" s="8" t="s">
        <v>481</v>
      </c>
      <c r="E33" s="2">
        <v>17053.204117982968</v>
      </c>
      <c r="F33" s="9" t="s">
        <v>221</v>
      </c>
      <c r="G33" s="256">
        <v>666</v>
      </c>
      <c r="H33" s="256">
        <v>1897</v>
      </c>
      <c r="I33" s="256">
        <v>2368</v>
      </c>
      <c r="J33" s="48">
        <v>1704</v>
      </c>
      <c r="K33" s="19">
        <v>46659</v>
      </c>
      <c r="L33" s="19">
        <v>46645</v>
      </c>
      <c r="M33" s="19">
        <v>46654</v>
      </c>
      <c r="N33" s="19">
        <v>46660</v>
      </c>
      <c r="O33" s="19">
        <v>46674</v>
      </c>
      <c r="P33" s="19">
        <v>46675</v>
      </c>
      <c r="Q33" s="19">
        <v>46699</v>
      </c>
      <c r="R33" s="19">
        <v>46780</v>
      </c>
      <c r="S33" s="21" t="s">
        <v>223</v>
      </c>
      <c r="T33" s="19">
        <v>46781</v>
      </c>
      <c r="U33" s="19">
        <v>46803</v>
      </c>
      <c r="V33" s="191"/>
      <c r="W33" s="19">
        <v>46659</v>
      </c>
      <c r="X33" s="19">
        <v>46645</v>
      </c>
      <c r="Y33" s="19">
        <v>46654</v>
      </c>
      <c r="Z33" s="19">
        <v>46660</v>
      </c>
      <c r="AA33" s="19">
        <v>46674</v>
      </c>
      <c r="AB33" s="19">
        <v>46675</v>
      </c>
      <c r="AC33" s="19">
        <v>46699</v>
      </c>
      <c r="AD33" s="19">
        <v>46780</v>
      </c>
      <c r="AE33" s="21" t="s">
        <v>223</v>
      </c>
      <c r="AF33" s="19">
        <v>46781</v>
      </c>
      <c r="AG33" s="19">
        <v>46803</v>
      </c>
      <c r="AY33" s="17"/>
      <c r="AZ33" s="237">
        <v>46900</v>
      </c>
      <c r="BA33" s="17" t="s">
        <v>408</v>
      </c>
      <c r="BB33" s="17"/>
      <c r="BC33" s="17"/>
      <c r="BD33" s="17"/>
      <c r="BE33" s="17"/>
      <c r="BG33" s="5"/>
      <c r="BH33" s="134">
        <f t="shared" si="33"/>
        <v>0</v>
      </c>
      <c r="BI33" s="134">
        <f t="shared" si="34"/>
        <v>0</v>
      </c>
      <c r="BJ33" s="134">
        <f t="shared" si="35"/>
        <v>0</v>
      </c>
      <c r="BK33" s="134">
        <f t="shared" si="36"/>
        <v>0</v>
      </c>
      <c r="BL33" s="134">
        <f t="shared" si="37"/>
        <v>0</v>
      </c>
      <c r="BM33" s="134">
        <f t="shared" si="38"/>
        <v>0</v>
      </c>
      <c r="BN33" s="134">
        <f t="shared" si="39"/>
        <v>0</v>
      </c>
      <c r="BO33" s="134">
        <f t="shared" si="40"/>
        <v>0</v>
      </c>
      <c r="BP33" s="134" t="str">
        <f t="shared" si="41"/>
        <v>0</v>
      </c>
      <c r="BQ33" s="134">
        <f t="shared" si="42"/>
        <v>0</v>
      </c>
      <c r="BR33" s="134">
        <f t="shared" si="43"/>
        <v>0</v>
      </c>
      <c r="BS33" s="5"/>
    </row>
    <row r="34" spans="1:71" ht="19" customHeight="1">
      <c r="A34" s="8" t="s">
        <v>425</v>
      </c>
      <c r="B34" s="8" t="s">
        <v>430</v>
      </c>
      <c r="C34" s="8" t="s">
        <v>482</v>
      </c>
      <c r="D34" s="8" t="s">
        <v>483</v>
      </c>
      <c r="E34" s="2">
        <v>24285.383934523154</v>
      </c>
      <c r="F34" s="9" t="s">
        <v>221</v>
      </c>
      <c r="G34" s="256">
        <v>364</v>
      </c>
      <c r="H34" s="256">
        <v>1036</v>
      </c>
      <c r="I34" s="256">
        <v>1293</v>
      </c>
      <c r="J34" s="48">
        <v>931</v>
      </c>
      <c r="K34" s="19">
        <v>46663</v>
      </c>
      <c r="L34" s="19">
        <v>46648</v>
      </c>
      <c r="M34" s="19">
        <v>46658</v>
      </c>
      <c r="N34" s="19">
        <v>46664</v>
      </c>
      <c r="O34" s="19">
        <v>46678</v>
      </c>
      <c r="P34" s="19">
        <v>46679</v>
      </c>
      <c r="Q34" s="19">
        <v>46704</v>
      </c>
      <c r="R34" s="19">
        <v>46794</v>
      </c>
      <c r="S34" s="21" t="s">
        <v>223</v>
      </c>
      <c r="T34" s="19">
        <v>46795</v>
      </c>
      <c r="U34" s="19">
        <v>46817</v>
      </c>
      <c r="V34" s="191"/>
      <c r="W34" s="19">
        <v>46663</v>
      </c>
      <c r="X34" s="19">
        <v>46648</v>
      </c>
      <c r="Y34" s="19">
        <v>46658</v>
      </c>
      <c r="Z34" s="19">
        <v>46664</v>
      </c>
      <c r="AA34" s="19">
        <v>46678</v>
      </c>
      <c r="AB34" s="19">
        <v>46679</v>
      </c>
      <c r="AC34" s="19">
        <v>46704</v>
      </c>
      <c r="AD34" s="19">
        <v>46794</v>
      </c>
      <c r="AE34" s="21" t="s">
        <v>223</v>
      </c>
      <c r="AF34" s="19">
        <v>46795</v>
      </c>
      <c r="AG34" s="19">
        <v>46817</v>
      </c>
      <c r="AY34" s="17"/>
      <c r="AZ34" s="237">
        <v>46906</v>
      </c>
      <c r="BA34" s="17" t="s">
        <v>408</v>
      </c>
      <c r="BB34" s="17"/>
      <c r="BC34" s="17"/>
      <c r="BD34" s="17"/>
      <c r="BE34" s="17"/>
      <c r="BG34" s="5"/>
      <c r="BH34" s="134">
        <f t="shared" si="33"/>
        <v>0</v>
      </c>
      <c r="BI34" s="134">
        <f t="shared" si="34"/>
        <v>0</v>
      </c>
      <c r="BJ34" s="134">
        <f t="shared" si="35"/>
        <v>0</v>
      </c>
      <c r="BK34" s="134">
        <f t="shared" si="36"/>
        <v>0</v>
      </c>
      <c r="BL34" s="134">
        <f t="shared" si="37"/>
        <v>0</v>
      </c>
      <c r="BM34" s="134">
        <f t="shared" si="38"/>
        <v>0</v>
      </c>
      <c r="BN34" s="134">
        <f t="shared" si="39"/>
        <v>0</v>
      </c>
      <c r="BO34" s="134">
        <f t="shared" si="40"/>
        <v>0</v>
      </c>
      <c r="BP34" s="134" t="str">
        <f t="shared" si="41"/>
        <v>0</v>
      </c>
      <c r="BQ34" s="134">
        <f t="shared" si="42"/>
        <v>0</v>
      </c>
      <c r="BR34" s="134">
        <f t="shared" si="43"/>
        <v>0</v>
      </c>
      <c r="BS34" s="5"/>
    </row>
    <row r="35" spans="1:71" ht="19" customHeight="1">
      <c r="A35" s="8" t="s">
        <v>425</v>
      </c>
      <c r="B35" s="8" t="s">
        <v>430</v>
      </c>
      <c r="C35" s="8" t="s">
        <v>484</v>
      </c>
      <c r="D35" s="8" t="s">
        <v>485</v>
      </c>
      <c r="E35" s="2">
        <v>19072.712519488658</v>
      </c>
      <c r="F35" s="9" t="s">
        <v>221</v>
      </c>
      <c r="G35" s="256">
        <v>384</v>
      </c>
      <c r="H35" s="256">
        <v>1095</v>
      </c>
      <c r="I35" s="256">
        <v>1367</v>
      </c>
      <c r="J35" s="48">
        <v>983</v>
      </c>
      <c r="K35" s="19">
        <v>46666</v>
      </c>
      <c r="L35" s="19">
        <v>46651</v>
      </c>
      <c r="M35" s="19">
        <v>46661</v>
      </c>
      <c r="N35" s="19">
        <v>46667</v>
      </c>
      <c r="O35" s="19">
        <v>46681</v>
      </c>
      <c r="P35" s="19">
        <v>46682</v>
      </c>
      <c r="Q35" s="19">
        <v>46707</v>
      </c>
      <c r="R35" s="19">
        <v>46805</v>
      </c>
      <c r="S35" s="21" t="s">
        <v>223</v>
      </c>
      <c r="T35" s="19">
        <v>46806</v>
      </c>
      <c r="U35" s="19">
        <v>46828</v>
      </c>
      <c r="V35" s="191"/>
      <c r="W35" s="19">
        <v>46666</v>
      </c>
      <c r="X35" s="19">
        <v>46651</v>
      </c>
      <c r="Y35" s="19">
        <v>46661</v>
      </c>
      <c r="Z35" s="19">
        <v>46667</v>
      </c>
      <c r="AA35" s="19">
        <v>46681</v>
      </c>
      <c r="AB35" s="19">
        <v>46682</v>
      </c>
      <c r="AC35" s="19">
        <v>46707</v>
      </c>
      <c r="AD35" s="19">
        <v>46805</v>
      </c>
      <c r="AE35" s="21" t="s">
        <v>223</v>
      </c>
      <c r="AF35" s="19">
        <v>46806</v>
      </c>
      <c r="AG35" s="19">
        <v>46828</v>
      </c>
      <c r="AY35" s="17"/>
      <c r="AZ35" s="237">
        <v>46980</v>
      </c>
      <c r="BA35" s="17" t="s">
        <v>408</v>
      </c>
      <c r="BB35" s="17"/>
      <c r="BC35" s="17"/>
      <c r="BD35" s="17"/>
      <c r="BE35" s="17"/>
      <c r="BG35" s="5"/>
      <c r="BH35" s="134">
        <f t="shared" si="33"/>
        <v>0</v>
      </c>
      <c r="BI35" s="134">
        <f t="shared" si="34"/>
        <v>0</v>
      </c>
      <c r="BJ35" s="134">
        <f t="shared" si="35"/>
        <v>0</v>
      </c>
      <c r="BK35" s="134">
        <f t="shared" si="36"/>
        <v>0</v>
      </c>
      <c r="BL35" s="134">
        <f t="shared" si="37"/>
        <v>0</v>
      </c>
      <c r="BM35" s="134">
        <f t="shared" si="38"/>
        <v>0</v>
      </c>
      <c r="BN35" s="134">
        <f t="shared" si="39"/>
        <v>0</v>
      </c>
      <c r="BO35" s="134">
        <f t="shared" si="40"/>
        <v>0</v>
      </c>
      <c r="BP35" s="134" t="str">
        <f t="shared" si="41"/>
        <v>0</v>
      </c>
      <c r="BQ35" s="134">
        <f t="shared" si="42"/>
        <v>0</v>
      </c>
      <c r="BR35" s="134">
        <f t="shared" si="43"/>
        <v>0</v>
      </c>
      <c r="BS35" s="5"/>
    </row>
    <row r="36" spans="1:71" ht="19" customHeight="1">
      <c r="A36" s="8" t="s">
        <v>425</v>
      </c>
      <c r="B36" s="8" t="s">
        <v>431</v>
      </c>
      <c r="C36" s="8" t="s">
        <v>486</v>
      </c>
      <c r="D36" s="8" t="s">
        <v>487</v>
      </c>
      <c r="E36" s="2">
        <v>3670.6587433609475</v>
      </c>
      <c r="F36" s="9" t="s">
        <v>221</v>
      </c>
      <c r="G36" s="256">
        <v>475</v>
      </c>
      <c r="H36" s="256">
        <v>1354</v>
      </c>
      <c r="I36" s="256">
        <v>1690</v>
      </c>
      <c r="J36" s="48">
        <v>1217</v>
      </c>
      <c r="K36" s="19">
        <v>46674</v>
      </c>
      <c r="L36" s="19">
        <v>46659</v>
      </c>
      <c r="M36" s="19">
        <v>46669</v>
      </c>
      <c r="N36" s="19">
        <v>46675</v>
      </c>
      <c r="O36" s="19">
        <v>46689</v>
      </c>
      <c r="P36" s="19">
        <v>46690</v>
      </c>
      <c r="Q36" s="19">
        <v>46715</v>
      </c>
      <c r="R36" s="19">
        <v>46815</v>
      </c>
      <c r="S36" s="21" t="s">
        <v>223</v>
      </c>
      <c r="T36" s="19">
        <v>46816</v>
      </c>
      <c r="U36" s="19">
        <v>46838</v>
      </c>
      <c r="V36" s="191"/>
      <c r="W36" s="19">
        <v>46674</v>
      </c>
      <c r="X36" s="19">
        <v>46659</v>
      </c>
      <c r="Y36" s="19">
        <v>46669</v>
      </c>
      <c r="Z36" s="19">
        <v>46675</v>
      </c>
      <c r="AA36" s="19">
        <v>46689</v>
      </c>
      <c r="AB36" s="19">
        <v>46690</v>
      </c>
      <c r="AC36" s="19">
        <v>46715</v>
      </c>
      <c r="AD36" s="19">
        <v>46815</v>
      </c>
      <c r="AE36" s="21" t="s">
        <v>223</v>
      </c>
      <c r="AF36" s="19">
        <v>46816</v>
      </c>
      <c r="AG36" s="19">
        <v>46838</v>
      </c>
      <c r="AY36" s="17"/>
      <c r="AZ36" s="237">
        <v>47028</v>
      </c>
      <c r="BA36" s="17" t="s">
        <v>408</v>
      </c>
      <c r="BB36" s="17"/>
      <c r="BC36" s="17"/>
      <c r="BD36" s="17"/>
      <c r="BE36" s="17"/>
      <c r="BG36" s="5"/>
      <c r="BH36" s="134">
        <f t="shared" si="33"/>
        <v>0</v>
      </c>
      <c r="BI36" s="134">
        <f t="shared" si="34"/>
        <v>0</v>
      </c>
      <c r="BJ36" s="134">
        <f t="shared" si="35"/>
        <v>0</v>
      </c>
      <c r="BK36" s="134">
        <f t="shared" si="36"/>
        <v>0</v>
      </c>
      <c r="BL36" s="134">
        <f t="shared" si="37"/>
        <v>0</v>
      </c>
      <c r="BM36" s="134">
        <f t="shared" si="38"/>
        <v>0</v>
      </c>
      <c r="BN36" s="134">
        <f t="shared" si="39"/>
        <v>0</v>
      </c>
      <c r="BO36" s="134">
        <f t="shared" si="40"/>
        <v>0</v>
      </c>
      <c r="BP36" s="134" t="str">
        <f t="shared" si="41"/>
        <v>0</v>
      </c>
      <c r="BQ36" s="134">
        <f t="shared" si="42"/>
        <v>0</v>
      </c>
      <c r="BR36" s="134">
        <f t="shared" si="43"/>
        <v>0</v>
      </c>
      <c r="BS36" s="5"/>
    </row>
    <row r="37" spans="1:71" ht="19" customHeight="1">
      <c r="A37" s="8" t="s">
        <v>425</v>
      </c>
      <c r="B37" s="8" t="s">
        <v>431</v>
      </c>
      <c r="C37" s="8" t="s">
        <v>488</v>
      </c>
      <c r="D37" s="8" t="s">
        <v>489</v>
      </c>
      <c r="E37" s="2">
        <v>7393.3955246458518</v>
      </c>
      <c r="F37" s="9" t="s">
        <v>221</v>
      </c>
      <c r="G37" s="256">
        <v>536</v>
      </c>
      <c r="H37" s="256">
        <v>1526</v>
      </c>
      <c r="I37" s="256">
        <v>1904</v>
      </c>
      <c r="J37" s="48">
        <v>1373</v>
      </c>
      <c r="K37" s="19">
        <v>46684</v>
      </c>
      <c r="L37" s="19">
        <v>46669</v>
      </c>
      <c r="M37" s="19">
        <v>46679</v>
      </c>
      <c r="N37" s="19">
        <v>46685</v>
      </c>
      <c r="O37" s="19">
        <v>46699</v>
      </c>
      <c r="P37" s="19">
        <v>46701</v>
      </c>
      <c r="Q37" s="19">
        <v>46725</v>
      </c>
      <c r="R37" s="19">
        <v>46835</v>
      </c>
      <c r="S37" s="21" t="s">
        <v>223</v>
      </c>
      <c r="T37" s="19">
        <v>46836</v>
      </c>
      <c r="U37" s="19">
        <v>46858</v>
      </c>
      <c r="V37" s="191"/>
      <c r="W37" s="19">
        <v>46684</v>
      </c>
      <c r="X37" s="19">
        <v>46669</v>
      </c>
      <c r="Y37" s="19">
        <v>46679</v>
      </c>
      <c r="Z37" s="19">
        <v>46685</v>
      </c>
      <c r="AA37" s="19">
        <v>46699</v>
      </c>
      <c r="AB37" s="19">
        <v>46701</v>
      </c>
      <c r="AC37" s="19">
        <v>46725</v>
      </c>
      <c r="AD37" s="19">
        <v>46835</v>
      </c>
      <c r="AE37" s="21" t="s">
        <v>223</v>
      </c>
      <c r="AF37" s="19">
        <v>46836</v>
      </c>
      <c r="AG37" s="19">
        <v>46858</v>
      </c>
      <c r="AY37" s="17"/>
      <c r="AZ37" s="237">
        <v>47046</v>
      </c>
      <c r="BA37" s="17" t="s">
        <v>408</v>
      </c>
      <c r="BB37" s="17"/>
      <c r="BC37" s="17"/>
      <c r="BD37" s="17"/>
      <c r="BE37" s="17"/>
      <c r="BG37" s="5"/>
      <c r="BH37" s="134">
        <f t="shared" si="33"/>
        <v>0</v>
      </c>
      <c r="BI37" s="134">
        <f t="shared" si="34"/>
        <v>0</v>
      </c>
      <c r="BJ37" s="134">
        <f t="shared" si="35"/>
        <v>0</v>
      </c>
      <c r="BK37" s="134">
        <f t="shared" si="36"/>
        <v>0</v>
      </c>
      <c r="BL37" s="134">
        <f t="shared" si="37"/>
        <v>0</v>
      </c>
      <c r="BM37" s="134">
        <f t="shared" si="38"/>
        <v>0</v>
      </c>
      <c r="BN37" s="134">
        <f t="shared" si="39"/>
        <v>0</v>
      </c>
      <c r="BO37" s="134">
        <f t="shared" si="40"/>
        <v>0</v>
      </c>
      <c r="BP37" s="134" t="str">
        <f t="shared" si="41"/>
        <v>0</v>
      </c>
      <c r="BQ37" s="134">
        <f t="shared" si="42"/>
        <v>0</v>
      </c>
      <c r="BR37" s="134">
        <f t="shared" si="43"/>
        <v>0</v>
      </c>
      <c r="BS37" s="5"/>
    </row>
    <row r="38" spans="1:71" ht="19" customHeight="1">
      <c r="A38" s="8" t="s">
        <v>425</v>
      </c>
      <c r="B38" s="8" t="s">
        <v>431</v>
      </c>
      <c r="C38" s="8" t="s">
        <v>490</v>
      </c>
      <c r="D38" s="8" t="s">
        <v>491</v>
      </c>
      <c r="E38" s="2">
        <v>11005.770078639263</v>
      </c>
      <c r="F38" s="9" t="s">
        <v>221</v>
      </c>
      <c r="G38" s="256">
        <v>777</v>
      </c>
      <c r="H38" s="256">
        <v>2212</v>
      </c>
      <c r="I38" s="256">
        <v>2760</v>
      </c>
      <c r="J38" s="48">
        <v>1988</v>
      </c>
      <c r="K38" s="19">
        <v>46703</v>
      </c>
      <c r="L38" s="19">
        <v>46688</v>
      </c>
      <c r="M38" s="19">
        <v>46698</v>
      </c>
      <c r="N38" s="19">
        <v>46704</v>
      </c>
      <c r="O38" s="19">
        <v>46718</v>
      </c>
      <c r="P38" s="19">
        <v>46719</v>
      </c>
      <c r="Q38" s="19">
        <v>46744</v>
      </c>
      <c r="R38" s="19">
        <v>46851</v>
      </c>
      <c r="S38" s="21" t="s">
        <v>223</v>
      </c>
      <c r="T38" s="19">
        <v>46852</v>
      </c>
      <c r="U38" s="19">
        <v>46874</v>
      </c>
      <c r="V38" s="191"/>
      <c r="W38" s="19">
        <v>46703</v>
      </c>
      <c r="X38" s="19">
        <v>46688</v>
      </c>
      <c r="Y38" s="19">
        <v>46698</v>
      </c>
      <c r="Z38" s="19">
        <v>46704</v>
      </c>
      <c r="AA38" s="19">
        <v>46718</v>
      </c>
      <c r="AB38" s="19">
        <v>46719</v>
      </c>
      <c r="AC38" s="19">
        <v>46744</v>
      </c>
      <c r="AD38" s="19">
        <v>46851</v>
      </c>
      <c r="AE38" s="21" t="s">
        <v>223</v>
      </c>
      <c r="AF38" s="19">
        <v>46852</v>
      </c>
      <c r="AG38" s="19">
        <v>46874</v>
      </c>
      <c r="AY38" s="17"/>
      <c r="AZ38" s="237">
        <v>47066</v>
      </c>
      <c r="BA38" s="17" t="s">
        <v>408</v>
      </c>
      <c r="BB38" s="17"/>
      <c r="BC38" s="17"/>
      <c r="BD38" s="17"/>
      <c r="BE38" s="17"/>
      <c r="BG38" s="5"/>
      <c r="BH38" s="134">
        <f t="shared" si="33"/>
        <v>0</v>
      </c>
      <c r="BI38" s="134">
        <f t="shared" si="34"/>
        <v>0</v>
      </c>
      <c r="BJ38" s="134">
        <f t="shared" si="35"/>
        <v>0</v>
      </c>
      <c r="BK38" s="134">
        <f t="shared" si="36"/>
        <v>0</v>
      </c>
      <c r="BL38" s="134">
        <f t="shared" si="37"/>
        <v>0</v>
      </c>
      <c r="BM38" s="134">
        <f t="shared" si="38"/>
        <v>0</v>
      </c>
      <c r="BN38" s="134">
        <f t="shared" si="39"/>
        <v>0</v>
      </c>
      <c r="BO38" s="134">
        <f t="shared" si="40"/>
        <v>0</v>
      </c>
      <c r="BP38" s="134" t="str">
        <f t="shared" si="41"/>
        <v>0</v>
      </c>
      <c r="BQ38" s="134">
        <f t="shared" si="42"/>
        <v>0</v>
      </c>
      <c r="BR38" s="134">
        <f t="shared" si="43"/>
        <v>0</v>
      </c>
      <c r="BS38" s="5"/>
    </row>
    <row r="39" spans="1:71" ht="19" customHeight="1">
      <c r="A39" s="8" t="s">
        <v>425</v>
      </c>
      <c r="B39" s="8" t="s">
        <v>431</v>
      </c>
      <c r="C39" s="8" t="s">
        <v>492</v>
      </c>
      <c r="D39" s="8" t="s">
        <v>493</v>
      </c>
      <c r="E39" s="2">
        <v>13706.378875368548</v>
      </c>
      <c r="F39" s="9" t="s">
        <v>221</v>
      </c>
      <c r="G39" s="256">
        <v>632</v>
      </c>
      <c r="H39" s="256">
        <v>1799</v>
      </c>
      <c r="I39" s="256">
        <v>2245</v>
      </c>
      <c r="J39" s="48">
        <v>1616</v>
      </c>
      <c r="K39" s="19">
        <v>46720</v>
      </c>
      <c r="L39" s="19">
        <v>46705</v>
      </c>
      <c r="M39" s="19">
        <v>46715</v>
      </c>
      <c r="N39" s="19">
        <v>46721</v>
      </c>
      <c r="O39" s="19">
        <v>46735</v>
      </c>
      <c r="P39" s="19">
        <v>46736</v>
      </c>
      <c r="Q39" s="19">
        <v>46761</v>
      </c>
      <c r="R39" s="19">
        <v>46867</v>
      </c>
      <c r="S39" s="21" t="s">
        <v>223</v>
      </c>
      <c r="T39" s="19">
        <v>46868</v>
      </c>
      <c r="U39" s="19">
        <v>46890</v>
      </c>
      <c r="V39" s="191"/>
      <c r="W39" s="19">
        <v>46720</v>
      </c>
      <c r="X39" s="19">
        <v>46705</v>
      </c>
      <c r="Y39" s="19">
        <v>46715</v>
      </c>
      <c r="Z39" s="19">
        <v>46721</v>
      </c>
      <c r="AA39" s="19">
        <v>46735</v>
      </c>
      <c r="AB39" s="19">
        <v>46736</v>
      </c>
      <c r="AC39" s="19">
        <v>46761</v>
      </c>
      <c r="AD39" s="19">
        <v>46867</v>
      </c>
      <c r="AE39" s="21" t="s">
        <v>223</v>
      </c>
      <c r="AF39" s="19">
        <v>46868</v>
      </c>
      <c r="AG39" s="19">
        <v>46890</v>
      </c>
      <c r="AY39" s="17"/>
      <c r="AZ39" s="237">
        <v>47112</v>
      </c>
      <c r="BA39" s="17" t="s">
        <v>408</v>
      </c>
      <c r="BB39" s="17"/>
      <c r="BC39" s="17"/>
      <c r="BD39" s="17"/>
      <c r="BE39" s="17"/>
      <c r="BG39" s="5"/>
      <c r="BH39" s="134">
        <f t="shared" si="33"/>
        <v>0</v>
      </c>
      <c r="BI39" s="134">
        <f t="shared" si="34"/>
        <v>0</v>
      </c>
      <c r="BJ39" s="134">
        <f t="shared" si="35"/>
        <v>0</v>
      </c>
      <c r="BK39" s="134">
        <f t="shared" si="36"/>
        <v>0</v>
      </c>
      <c r="BL39" s="134">
        <f t="shared" si="37"/>
        <v>0</v>
      </c>
      <c r="BM39" s="134">
        <f t="shared" si="38"/>
        <v>0</v>
      </c>
      <c r="BN39" s="134">
        <f t="shared" si="39"/>
        <v>0</v>
      </c>
      <c r="BO39" s="134">
        <f t="shared" si="40"/>
        <v>0</v>
      </c>
      <c r="BP39" s="134" t="str">
        <f t="shared" si="41"/>
        <v>0</v>
      </c>
      <c r="BQ39" s="134">
        <f t="shared" si="42"/>
        <v>0</v>
      </c>
      <c r="BR39" s="134">
        <f t="shared" si="43"/>
        <v>0</v>
      </c>
      <c r="BS39" s="5"/>
    </row>
    <row r="40" spans="1:71" ht="19" customHeight="1">
      <c r="A40" s="8" t="s">
        <v>425</v>
      </c>
      <c r="B40" s="8" t="s">
        <v>431</v>
      </c>
      <c r="C40" s="8" t="s">
        <v>494</v>
      </c>
      <c r="D40" s="8" t="s">
        <v>495</v>
      </c>
      <c r="E40" s="2">
        <v>13092.84165088862</v>
      </c>
      <c r="F40" s="9" t="s">
        <v>221</v>
      </c>
      <c r="G40" s="256">
        <v>483.00000000000006</v>
      </c>
      <c r="H40" s="256">
        <v>1375</v>
      </c>
      <c r="I40" s="256">
        <v>1715</v>
      </c>
      <c r="J40" s="48">
        <v>1234</v>
      </c>
      <c r="K40" s="19">
        <v>46738</v>
      </c>
      <c r="L40" s="19">
        <v>46723</v>
      </c>
      <c r="M40" s="19">
        <v>46733</v>
      </c>
      <c r="N40" s="19">
        <v>46739</v>
      </c>
      <c r="O40" s="19">
        <v>46754</v>
      </c>
      <c r="P40" s="19">
        <v>46755</v>
      </c>
      <c r="Q40" s="19">
        <v>46779</v>
      </c>
      <c r="R40" s="19">
        <v>46880</v>
      </c>
      <c r="S40" s="21" t="s">
        <v>223</v>
      </c>
      <c r="T40" s="19">
        <v>46882</v>
      </c>
      <c r="U40" s="19">
        <v>46903</v>
      </c>
      <c r="V40" s="191"/>
      <c r="W40" s="19">
        <v>46738</v>
      </c>
      <c r="X40" s="19">
        <v>46723</v>
      </c>
      <c r="Y40" s="19">
        <v>46733</v>
      </c>
      <c r="Z40" s="19">
        <v>46739</v>
      </c>
      <c r="AA40" s="19">
        <v>46754</v>
      </c>
      <c r="AB40" s="19">
        <v>46755</v>
      </c>
      <c r="AC40" s="19">
        <v>46779</v>
      </c>
      <c r="AD40" s="19">
        <v>46880</v>
      </c>
      <c r="AE40" s="21" t="s">
        <v>223</v>
      </c>
      <c r="AF40" s="19">
        <v>46882</v>
      </c>
      <c r="AG40" s="19">
        <v>46903</v>
      </c>
      <c r="AY40" s="17"/>
      <c r="AZ40" s="17"/>
      <c r="BA40" s="17"/>
      <c r="BB40" s="17"/>
      <c r="BC40" s="17"/>
      <c r="BD40" s="17"/>
      <c r="BE40" s="17"/>
      <c r="BG40" s="5"/>
      <c r="BH40" s="134">
        <f t="shared" si="33"/>
        <v>0</v>
      </c>
      <c r="BI40" s="134">
        <f t="shared" si="34"/>
        <v>0</v>
      </c>
      <c r="BJ40" s="134">
        <f t="shared" si="35"/>
        <v>0</v>
      </c>
      <c r="BK40" s="134">
        <f t="shared" si="36"/>
        <v>0</v>
      </c>
      <c r="BL40" s="134">
        <f t="shared" si="37"/>
        <v>0</v>
      </c>
      <c r="BM40" s="134">
        <f t="shared" si="38"/>
        <v>0</v>
      </c>
      <c r="BN40" s="134">
        <f t="shared" si="39"/>
        <v>0</v>
      </c>
      <c r="BO40" s="134">
        <f t="shared" si="40"/>
        <v>0</v>
      </c>
      <c r="BP40" s="134" t="str">
        <f t="shared" si="41"/>
        <v>0</v>
      </c>
      <c r="BQ40" s="134">
        <f t="shared" si="42"/>
        <v>0</v>
      </c>
      <c r="BR40" s="134">
        <f t="shared" si="43"/>
        <v>0</v>
      </c>
      <c r="BS40" s="5"/>
    </row>
    <row r="41" spans="1:71" ht="19" customHeight="1">
      <c r="A41" s="8" t="s">
        <v>425</v>
      </c>
      <c r="B41" s="8" t="s">
        <v>431</v>
      </c>
      <c r="C41" s="8" t="s">
        <v>496</v>
      </c>
      <c r="D41" s="8" t="s">
        <v>497</v>
      </c>
      <c r="E41" s="2">
        <v>11238.812838418964</v>
      </c>
      <c r="F41" s="9" t="s">
        <v>221</v>
      </c>
      <c r="G41" s="256">
        <v>625</v>
      </c>
      <c r="H41" s="256">
        <v>1781</v>
      </c>
      <c r="I41" s="256">
        <v>2222</v>
      </c>
      <c r="J41" s="48">
        <v>1601</v>
      </c>
      <c r="K41" s="19">
        <v>46759</v>
      </c>
      <c r="L41" s="19">
        <v>46744</v>
      </c>
      <c r="M41" s="19">
        <v>46754</v>
      </c>
      <c r="N41" s="19">
        <v>46760</v>
      </c>
      <c r="O41" s="19">
        <v>46774</v>
      </c>
      <c r="P41" s="19">
        <v>46775</v>
      </c>
      <c r="Q41" s="19">
        <v>46800</v>
      </c>
      <c r="R41" s="19">
        <v>46891</v>
      </c>
      <c r="S41" s="21" t="s">
        <v>223</v>
      </c>
      <c r="T41" s="19">
        <v>46892</v>
      </c>
      <c r="U41" s="19">
        <v>46914</v>
      </c>
      <c r="V41" s="191"/>
      <c r="W41" s="19">
        <v>46759</v>
      </c>
      <c r="X41" s="19">
        <v>46744</v>
      </c>
      <c r="Y41" s="19">
        <v>46754</v>
      </c>
      <c r="Z41" s="19">
        <v>46760</v>
      </c>
      <c r="AA41" s="19">
        <v>46774</v>
      </c>
      <c r="AB41" s="19">
        <v>46775</v>
      </c>
      <c r="AC41" s="19">
        <v>46800</v>
      </c>
      <c r="AD41" s="19">
        <v>46891</v>
      </c>
      <c r="AE41" s="21" t="s">
        <v>223</v>
      </c>
      <c r="AF41" s="19">
        <v>46892</v>
      </c>
      <c r="AG41" s="19">
        <v>46914</v>
      </c>
      <c r="AY41" s="17"/>
      <c r="AZ41" s="17"/>
      <c r="BA41" s="17"/>
      <c r="BB41" s="17"/>
      <c r="BC41" s="17"/>
      <c r="BD41" s="17"/>
      <c r="BE41" s="17"/>
      <c r="BG41" s="5"/>
      <c r="BH41" s="134">
        <f t="shared" si="33"/>
        <v>0</v>
      </c>
      <c r="BI41" s="134">
        <f t="shared" si="34"/>
        <v>0</v>
      </c>
      <c r="BJ41" s="134">
        <f t="shared" si="35"/>
        <v>0</v>
      </c>
      <c r="BK41" s="134">
        <f t="shared" si="36"/>
        <v>0</v>
      </c>
      <c r="BL41" s="134">
        <f t="shared" si="37"/>
        <v>0</v>
      </c>
      <c r="BM41" s="134">
        <f t="shared" si="38"/>
        <v>0</v>
      </c>
      <c r="BN41" s="134">
        <f t="shared" si="39"/>
        <v>0</v>
      </c>
      <c r="BO41" s="134">
        <f t="shared" si="40"/>
        <v>0</v>
      </c>
      <c r="BP41" s="134" t="str">
        <f t="shared" si="41"/>
        <v>0</v>
      </c>
      <c r="BQ41" s="134">
        <f t="shared" si="42"/>
        <v>0</v>
      </c>
      <c r="BR41" s="134">
        <f t="shared" si="43"/>
        <v>0</v>
      </c>
      <c r="BS41" s="5"/>
    </row>
    <row r="42" spans="1:71" ht="19" customHeight="1">
      <c r="A42" s="8" t="s">
        <v>425</v>
      </c>
      <c r="B42" s="8" t="s">
        <v>431</v>
      </c>
      <c r="C42" s="8" t="s">
        <v>498</v>
      </c>
      <c r="D42" s="8" t="s">
        <v>499</v>
      </c>
      <c r="E42" s="2">
        <v>9545.1869537562015</v>
      </c>
      <c r="F42" s="9" t="s">
        <v>221</v>
      </c>
      <c r="G42" s="256">
        <v>508.99999999999994</v>
      </c>
      <c r="H42" s="256">
        <v>1449</v>
      </c>
      <c r="I42" s="256">
        <v>1810</v>
      </c>
      <c r="J42" s="48">
        <v>1302</v>
      </c>
      <c r="K42" s="19">
        <v>46775</v>
      </c>
      <c r="L42" s="19">
        <v>46760</v>
      </c>
      <c r="M42" s="19">
        <v>46770</v>
      </c>
      <c r="N42" s="19">
        <v>46776</v>
      </c>
      <c r="O42" s="19">
        <v>46790</v>
      </c>
      <c r="P42" s="19">
        <v>46791</v>
      </c>
      <c r="Q42" s="19">
        <v>46816</v>
      </c>
      <c r="R42" s="19">
        <v>46901</v>
      </c>
      <c r="S42" s="21" t="s">
        <v>223</v>
      </c>
      <c r="T42" s="19">
        <v>46902</v>
      </c>
      <c r="U42" s="19">
        <v>46924</v>
      </c>
      <c r="V42" s="191"/>
      <c r="W42" s="19">
        <v>46775</v>
      </c>
      <c r="X42" s="19">
        <v>46760</v>
      </c>
      <c r="Y42" s="19">
        <v>46770</v>
      </c>
      <c r="Z42" s="19">
        <v>46776</v>
      </c>
      <c r="AA42" s="19">
        <v>46790</v>
      </c>
      <c r="AB42" s="19">
        <v>46791</v>
      </c>
      <c r="AC42" s="19">
        <v>46816</v>
      </c>
      <c r="AD42" s="19">
        <v>46901</v>
      </c>
      <c r="AE42" s="21" t="s">
        <v>223</v>
      </c>
      <c r="AF42" s="19">
        <v>46902</v>
      </c>
      <c r="AG42" s="19">
        <v>46924</v>
      </c>
      <c r="AY42" s="17"/>
      <c r="AZ42" s="17"/>
      <c r="BA42" s="17"/>
      <c r="BB42" s="17"/>
      <c r="BC42" s="17"/>
      <c r="BD42" s="17"/>
      <c r="BE42" s="17"/>
      <c r="BG42" s="5"/>
      <c r="BH42" s="134">
        <f t="shared" si="33"/>
        <v>0</v>
      </c>
      <c r="BI42" s="134">
        <f t="shared" si="34"/>
        <v>0</v>
      </c>
      <c r="BJ42" s="134">
        <f t="shared" si="35"/>
        <v>0</v>
      </c>
      <c r="BK42" s="134">
        <f t="shared" si="36"/>
        <v>0</v>
      </c>
      <c r="BL42" s="134">
        <f t="shared" si="37"/>
        <v>0</v>
      </c>
      <c r="BM42" s="134">
        <f t="shared" si="38"/>
        <v>0</v>
      </c>
      <c r="BN42" s="134">
        <f t="shared" si="39"/>
        <v>0</v>
      </c>
      <c r="BO42" s="134">
        <f t="shared" si="40"/>
        <v>0</v>
      </c>
      <c r="BP42" s="134" t="str">
        <f t="shared" si="41"/>
        <v>0</v>
      </c>
      <c r="BQ42" s="134">
        <f t="shared" si="42"/>
        <v>0</v>
      </c>
      <c r="BR42" s="134">
        <f t="shared" si="43"/>
        <v>0</v>
      </c>
      <c r="BS42" s="5"/>
    </row>
    <row r="43" spans="1:71" ht="19" customHeight="1">
      <c r="A43" s="8" t="s">
        <v>425</v>
      </c>
      <c r="B43" s="8" t="s">
        <v>431</v>
      </c>
      <c r="C43" s="8" t="s">
        <v>500</v>
      </c>
      <c r="D43" s="8" t="s">
        <v>501</v>
      </c>
      <c r="E43" s="2">
        <v>11006.765964301208</v>
      </c>
      <c r="F43" s="9" t="s">
        <v>221</v>
      </c>
      <c r="G43" s="256">
        <v>573</v>
      </c>
      <c r="H43" s="256">
        <v>1632</v>
      </c>
      <c r="I43" s="256">
        <v>2038</v>
      </c>
      <c r="J43" s="48">
        <v>1466</v>
      </c>
      <c r="K43" s="19">
        <v>46791</v>
      </c>
      <c r="L43" s="19">
        <v>46776</v>
      </c>
      <c r="M43" s="19">
        <v>46786</v>
      </c>
      <c r="N43" s="19">
        <v>46792</v>
      </c>
      <c r="O43" s="19">
        <v>46806</v>
      </c>
      <c r="P43" s="19">
        <v>46807</v>
      </c>
      <c r="Q43" s="19">
        <v>46832</v>
      </c>
      <c r="R43" s="19">
        <v>46914</v>
      </c>
      <c r="S43" s="21" t="s">
        <v>223</v>
      </c>
      <c r="T43" s="19">
        <v>46915</v>
      </c>
      <c r="U43" s="19">
        <v>46937</v>
      </c>
      <c r="V43" s="191"/>
      <c r="W43" s="19">
        <v>46791</v>
      </c>
      <c r="X43" s="19">
        <v>46776</v>
      </c>
      <c r="Y43" s="19">
        <v>46786</v>
      </c>
      <c r="Z43" s="19">
        <v>46792</v>
      </c>
      <c r="AA43" s="19">
        <v>46806</v>
      </c>
      <c r="AB43" s="19">
        <v>46807</v>
      </c>
      <c r="AC43" s="19">
        <v>46832</v>
      </c>
      <c r="AD43" s="19">
        <v>46914</v>
      </c>
      <c r="AE43" s="21" t="s">
        <v>223</v>
      </c>
      <c r="AF43" s="19">
        <v>46915</v>
      </c>
      <c r="AG43" s="19">
        <v>46937</v>
      </c>
      <c r="AY43" s="17"/>
      <c r="AZ43" s="17"/>
      <c r="BA43" s="17"/>
      <c r="BB43" s="17"/>
      <c r="BC43" s="17"/>
      <c r="BD43" s="17"/>
      <c r="BE43" s="17"/>
      <c r="BG43" s="5"/>
      <c r="BH43" s="134">
        <f t="shared" si="33"/>
        <v>0</v>
      </c>
      <c r="BI43" s="134">
        <f t="shared" si="34"/>
        <v>0</v>
      </c>
      <c r="BJ43" s="134">
        <f t="shared" si="35"/>
        <v>0</v>
      </c>
      <c r="BK43" s="134">
        <f t="shared" si="36"/>
        <v>0</v>
      </c>
      <c r="BL43" s="134">
        <f t="shared" si="37"/>
        <v>0</v>
      </c>
      <c r="BM43" s="134">
        <f t="shared" si="38"/>
        <v>0</v>
      </c>
      <c r="BN43" s="134">
        <f t="shared" si="39"/>
        <v>0</v>
      </c>
      <c r="BO43" s="134">
        <f t="shared" si="40"/>
        <v>0</v>
      </c>
      <c r="BP43" s="134" t="str">
        <f t="shared" si="41"/>
        <v>0</v>
      </c>
      <c r="BQ43" s="134">
        <f t="shared" si="42"/>
        <v>0</v>
      </c>
      <c r="BR43" s="134">
        <f t="shared" si="43"/>
        <v>0</v>
      </c>
      <c r="BS43" s="5"/>
    </row>
    <row r="44" spans="1:71" ht="19" customHeight="1">
      <c r="A44" s="8" t="s">
        <v>425</v>
      </c>
      <c r="B44" s="8" t="s">
        <v>431</v>
      </c>
      <c r="C44" s="8" t="s">
        <v>502</v>
      </c>
      <c r="D44" s="8" t="s">
        <v>503</v>
      </c>
      <c r="E44" s="2">
        <v>9856.5905408473736</v>
      </c>
      <c r="F44" s="9" t="s">
        <v>221</v>
      </c>
      <c r="G44" s="256">
        <v>627</v>
      </c>
      <c r="H44" s="256">
        <v>1786</v>
      </c>
      <c r="I44" s="256">
        <v>2229</v>
      </c>
      <c r="J44" s="48">
        <v>1604</v>
      </c>
      <c r="K44" s="19">
        <v>46805</v>
      </c>
      <c r="L44" s="19">
        <v>46790</v>
      </c>
      <c r="M44" s="19">
        <v>46800</v>
      </c>
      <c r="N44" s="19">
        <v>46806</v>
      </c>
      <c r="O44" s="19">
        <v>46820</v>
      </c>
      <c r="P44" s="19">
        <v>46821</v>
      </c>
      <c r="Q44" s="19">
        <v>46846</v>
      </c>
      <c r="R44" s="19">
        <v>46924</v>
      </c>
      <c r="S44" s="21" t="s">
        <v>223</v>
      </c>
      <c r="T44" s="19">
        <v>46925</v>
      </c>
      <c r="U44" s="19">
        <v>46947</v>
      </c>
      <c r="V44" s="191"/>
      <c r="W44" s="19">
        <v>46805</v>
      </c>
      <c r="X44" s="19">
        <v>46790</v>
      </c>
      <c r="Y44" s="19">
        <v>46800</v>
      </c>
      <c r="Z44" s="19">
        <v>46806</v>
      </c>
      <c r="AA44" s="19">
        <v>46820</v>
      </c>
      <c r="AB44" s="19">
        <v>46821</v>
      </c>
      <c r="AC44" s="19">
        <v>46846</v>
      </c>
      <c r="AD44" s="19">
        <v>46924</v>
      </c>
      <c r="AE44" s="21" t="s">
        <v>223</v>
      </c>
      <c r="AF44" s="19">
        <v>46925</v>
      </c>
      <c r="AG44" s="19">
        <v>46947</v>
      </c>
      <c r="AY44" s="17"/>
      <c r="AZ44" s="17"/>
      <c r="BA44" s="17"/>
      <c r="BB44" s="17"/>
      <c r="BC44" s="17"/>
      <c r="BD44" s="17"/>
      <c r="BE44" s="17"/>
      <c r="BG44" s="5"/>
      <c r="BH44" s="134">
        <f t="shared" si="33"/>
        <v>0</v>
      </c>
      <c r="BI44" s="134">
        <f t="shared" si="34"/>
        <v>0</v>
      </c>
      <c r="BJ44" s="134">
        <f t="shared" si="35"/>
        <v>0</v>
      </c>
      <c r="BK44" s="134">
        <f t="shared" si="36"/>
        <v>0</v>
      </c>
      <c r="BL44" s="134">
        <f t="shared" si="37"/>
        <v>0</v>
      </c>
      <c r="BM44" s="134">
        <f t="shared" si="38"/>
        <v>0</v>
      </c>
      <c r="BN44" s="134">
        <f t="shared" si="39"/>
        <v>0</v>
      </c>
      <c r="BO44" s="134">
        <f t="shared" si="40"/>
        <v>0</v>
      </c>
      <c r="BP44" s="134" t="str">
        <f t="shared" si="41"/>
        <v>0</v>
      </c>
      <c r="BQ44" s="134">
        <f t="shared" si="42"/>
        <v>0</v>
      </c>
      <c r="BR44" s="134">
        <f t="shared" si="43"/>
        <v>0</v>
      </c>
      <c r="BS44" s="5"/>
    </row>
    <row r="45" spans="1:71" ht="19" customHeight="1">
      <c r="A45" s="8" t="s">
        <v>425</v>
      </c>
      <c r="B45" s="8" t="s">
        <v>431</v>
      </c>
      <c r="C45" s="8" t="s">
        <v>504</v>
      </c>
      <c r="D45" s="8" t="s">
        <v>505</v>
      </c>
      <c r="E45" s="2">
        <v>9493.5621405982183</v>
      </c>
      <c r="F45" s="9" t="s">
        <v>221</v>
      </c>
      <c r="G45" s="256">
        <v>769</v>
      </c>
      <c r="H45" s="256">
        <v>2190</v>
      </c>
      <c r="I45" s="256">
        <v>2733</v>
      </c>
      <c r="J45" s="48">
        <v>1967.9999999999998</v>
      </c>
      <c r="K45" s="19">
        <v>46820</v>
      </c>
      <c r="L45" s="19">
        <v>46805</v>
      </c>
      <c r="M45" s="19">
        <v>46815</v>
      </c>
      <c r="N45" s="19">
        <v>46821</v>
      </c>
      <c r="O45" s="19">
        <v>46835</v>
      </c>
      <c r="P45" s="19">
        <v>46836</v>
      </c>
      <c r="Q45" s="19">
        <v>46861</v>
      </c>
      <c r="R45" s="19">
        <v>46934</v>
      </c>
      <c r="S45" s="21" t="s">
        <v>223</v>
      </c>
      <c r="T45" s="19">
        <v>46935</v>
      </c>
      <c r="U45" s="19">
        <v>46957</v>
      </c>
      <c r="V45" s="191"/>
      <c r="W45" s="19">
        <v>46820</v>
      </c>
      <c r="X45" s="19">
        <v>46805</v>
      </c>
      <c r="Y45" s="19">
        <v>46815</v>
      </c>
      <c r="Z45" s="19">
        <v>46821</v>
      </c>
      <c r="AA45" s="19">
        <v>46835</v>
      </c>
      <c r="AB45" s="19">
        <v>46836</v>
      </c>
      <c r="AC45" s="19">
        <v>46861</v>
      </c>
      <c r="AD45" s="19">
        <v>46934</v>
      </c>
      <c r="AE45" s="21" t="s">
        <v>223</v>
      </c>
      <c r="AF45" s="19">
        <v>46935</v>
      </c>
      <c r="AG45" s="19">
        <v>46957</v>
      </c>
      <c r="AY45" s="17"/>
      <c r="AZ45" s="17"/>
      <c r="BA45" s="17"/>
      <c r="BB45" s="17"/>
      <c r="BC45" s="17"/>
      <c r="BD45" s="17"/>
      <c r="BE45" s="17"/>
      <c r="BG45" s="5"/>
      <c r="BH45" s="134">
        <f t="shared" si="33"/>
        <v>0</v>
      </c>
      <c r="BI45" s="134">
        <f t="shared" si="34"/>
        <v>0</v>
      </c>
      <c r="BJ45" s="134">
        <f t="shared" si="35"/>
        <v>0</v>
      </c>
      <c r="BK45" s="134">
        <f t="shared" si="36"/>
        <v>0</v>
      </c>
      <c r="BL45" s="134">
        <f t="shared" si="37"/>
        <v>0</v>
      </c>
      <c r="BM45" s="134">
        <f t="shared" si="38"/>
        <v>0</v>
      </c>
      <c r="BN45" s="134">
        <f t="shared" si="39"/>
        <v>0</v>
      </c>
      <c r="BO45" s="134">
        <f t="shared" si="40"/>
        <v>0</v>
      </c>
      <c r="BP45" s="134" t="str">
        <f t="shared" si="41"/>
        <v>0</v>
      </c>
      <c r="BQ45" s="134">
        <f t="shared" si="42"/>
        <v>0</v>
      </c>
      <c r="BR45" s="134">
        <f t="shared" si="43"/>
        <v>0</v>
      </c>
      <c r="BS45" s="5"/>
    </row>
    <row r="46" spans="1:71" ht="19" customHeight="1">
      <c r="A46" s="8" t="s">
        <v>425</v>
      </c>
      <c r="B46" s="8" t="s">
        <v>431</v>
      </c>
      <c r="C46" s="8" t="s">
        <v>506</v>
      </c>
      <c r="D46" s="8" t="s">
        <v>507</v>
      </c>
      <c r="E46" s="2">
        <v>8464.8366231018554</v>
      </c>
      <c r="F46" s="9" t="s">
        <v>221</v>
      </c>
      <c r="G46" s="256">
        <v>652</v>
      </c>
      <c r="H46" s="256">
        <v>1858</v>
      </c>
      <c r="I46" s="256">
        <v>2318</v>
      </c>
      <c r="J46" s="48">
        <v>1669</v>
      </c>
      <c r="K46" s="19">
        <v>46835</v>
      </c>
      <c r="L46" s="19">
        <v>46820</v>
      </c>
      <c r="M46" s="19">
        <v>46830</v>
      </c>
      <c r="N46" s="19">
        <v>46836</v>
      </c>
      <c r="O46" s="19">
        <v>46850</v>
      </c>
      <c r="P46" s="19">
        <v>46851</v>
      </c>
      <c r="Q46" s="19">
        <v>46876</v>
      </c>
      <c r="R46" s="19">
        <v>46943</v>
      </c>
      <c r="S46" s="21" t="s">
        <v>223</v>
      </c>
      <c r="T46" s="19">
        <v>46944</v>
      </c>
      <c r="U46" s="19">
        <v>46966</v>
      </c>
      <c r="V46" s="191"/>
      <c r="W46" s="19">
        <v>46835</v>
      </c>
      <c r="X46" s="19">
        <v>46820</v>
      </c>
      <c r="Y46" s="19">
        <v>46830</v>
      </c>
      <c r="Z46" s="19">
        <v>46836</v>
      </c>
      <c r="AA46" s="19">
        <v>46850</v>
      </c>
      <c r="AB46" s="19">
        <v>46851</v>
      </c>
      <c r="AC46" s="19">
        <v>46876</v>
      </c>
      <c r="AD46" s="19">
        <v>46943</v>
      </c>
      <c r="AE46" s="21" t="s">
        <v>223</v>
      </c>
      <c r="AF46" s="19">
        <v>46944</v>
      </c>
      <c r="AG46" s="19">
        <v>46966</v>
      </c>
      <c r="AY46" s="17"/>
      <c r="AZ46" s="17"/>
      <c r="BA46" s="17"/>
      <c r="BB46" s="17"/>
      <c r="BC46" s="17"/>
      <c r="BD46" s="17"/>
      <c r="BE46" s="17"/>
      <c r="BG46" s="5"/>
      <c r="BH46" s="134">
        <f t="shared" si="33"/>
        <v>0</v>
      </c>
      <c r="BI46" s="134">
        <f t="shared" si="34"/>
        <v>0</v>
      </c>
      <c r="BJ46" s="134">
        <f t="shared" si="35"/>
        <v>0</v>
      </c>
      <c r="BK46" s="134">
        <f t="shared" si="36"/>
        <v>0</v>
      </c>
      <c r="BL46" s="134">
        <f t="shared" si="37"/>
        <v>0</v>
      </c>
      <c r="BM46" s="134">
        <f t="shared" si="38"/>
        <v>0</v>
      </c>
      <c r="BN46" s="134">
        <f t="shared" si="39"/>
        <v>0</v>
      </c>
      <c r="BO46" s="134">
        <f t="shared" si="40"/>
        <v>0</v>
      </c>
      <c r="BP46" s="134" t="str">
        <f t="shared" si="41"/>
        <v>0</v>
      </c>
      <c r="BQ46" s="134">
        <f t="shared" si="42"/>
        <v>0</v>
      </c>
      <c r="BR46" s="134">
        <f t="shared" si="43"/>
        <v>0</v>
      </c>
      <c r="BS46" s="5"/>
    </row>
    <row r="47" spans="1:71" ht="19" customHeight="1">
      <c r="A47" s="8" t="s">
        <v>425</v>
      </c>
      <c r="B47" s="8" t="s">
        <v>432</v>
      </c>
      <c r="C47" s="8" t="s">
        <v>508</v>
      </c>
      <c r="D47" s="8" t="s">
        <v>509</v>
      </c>
      <c r="E47" s="2">
        <v>19403.964641840728</v>
      </c>
      <c r="F47" s="9" t="s">
        <v>221</v>
      </c>
      <c r="G47" s="256">
        <v>590</v>
      </c>
      <c r="H47" s="256">
        <v>1681</v>
      </c>
      <c r="I47" s="256">
        <v>2097</v>
      </c>
      <c r="J47" s="48">
        <v>1510</v>
      </c>
      <c r="K47" s="19">
        <v>46850</v>
      </c>
      <c r="L47" s="19">
        <v>46835</v>
      </c>
      <c r="M47" s="19">
        <v>46845</v>
      </c>
      <c r="N47" s="19">
        <v>46851</v>
      </c>
      <c r="O47" s="19">
        <v>46865</v>
      </c>
      <c r="P47" s="19">
        <v>46866</v>
      </c>
      <c r="Q47" s="19">
        <v>46891</v>
      </c>
      <c r="R47" s="19">
        <v>46955</v>
      </c>
      <c r="S47" s="21" t="s">
        <v>223</v>
      </c>
      <c r="T47" s="19">
        <v>46956</v>
      </c>
      <c r="U47" s="19">
        <v>46977</v>
      </c>
      <c r="V47" s="191"/>
      <c r="W47" s="19">
        <v>46850</v>
      </c>
      <c r="X47" s="19">
        <v>46835</v>
      </c>
      <c r="Y47" s="19">
        <v>46845</v>
      </c>
      <c r="Z47" s="19">
        <v>46851</v>
      </c>
      <c r="AA47" s="19">
        <v>46865</v>
      </c>
      <c r="AB47" s="19">
        <v>46866</v>
      </c>
      <c r="AC47" s="19">
        <v>46891</v>
      </c>
      <c r="AD47" s="19">
        <v>46955</v>
      </c>
      <c r="AE47" s="21" t="s">
        <v>223</v>
      </c>
      <c r="AF47" s="19">
        <v>46956</v>
      </c>
      <c r="AG47" s="19">
        <v>46977</v>
      </c>
      <c r="AY47" s="17"/>
      <c r="AZ47" s="17"/>
      <c r="BA47" s="17"/>
      <c r="BB47" s="17"/>
      <c r="BC47" s="17"/>
      <c r="BD47" s="17"/>
      <c r="BE47" s="17"/>
      <c r="BG47" s="5"/>
      <c r="BH47" s="134">
        <f t="shared" si="33"/>
        <v>0</v>
      </c>
      <c r="BI47" s="134">
        <f t="shared" si="34"/>
        <v>0</v>
      </c>
      <c r="BJ47" s="134">
        <f t="shared" si="35"/>
        <v>0</v>
      </c>
      <c r="BK47" s="134">
        <f t="shared" si="36"/>
        <v>0</v>
      </c>
      <c r="BL47" s="134">
        <f t="shared" si="37"/>
        <v>0</v>
      </c>
      <c r="BM47" s="134">
        <f t="shared" si="38"/>
        <v>0</v>
      </c>
      <c r="BN47" s="134">
        <f t="shared" si="39"/>
        <v>0</v>
      </c>
      <c r="BO47" s="134">
        <f t="shared" si="40"/>
        <v>0</v>
      </c>
      <c r="BP47" s="134" t="str">
        <f t="shared" si="41"/>
        <v>0</v>
      </c>
      <c r="BQ47" s="134">
        <f t="shared" si="42"/>
        <v>0</v>
      </c>
      <c r="BR47" s="134">
        <f t="shared" si="43"/>
        <v>0</v>
      </c>
      <c r="BS47" s="5"/>
    </row>
    <row r="48" spans="1:71" ht="19" customHeight="1">
      <c r="A48" s="8" t="s">
        <v>425</v>
      </c>
      <c r="B48" s="8" t="s">
        <v>432</v>
      </c>
      <c r="C48" s="8" t="s">
        <v>510</v>
      </c>
      <c r="D48" s="8" t="s">
        <v>511</v>
      </c>
      <c r="E48" s="2">
        <v>9176.7570323873497</v>
      </c>
      <c r="F48" s="9" t="s">
        <v>221</v>
      </c>
      <c r="G48" s="256">
        <v>305</v>
      </c>
      <c r="H48" s="256">
        <v>869</v>
      </c>
      <c r="I48" s="256">
        <v>1084</v>
      </c>
      <c r="J48" s="48">
        <v>781</v>
      </c>
      <c r="K48" s="19">
        <v>46854</v>
      </c>
      <c r="L48" s="19">
        <v>46839</v>
      </c>
      <c r="M48" s="19">
        <v>46849</v>
      </c>
      <c r="N48" s="19">
        <v>46855</v>
      </c>
      <c r="O48" s="19">
        <v>46869</v>
      </c>
      <c r="P48" s="19">
        <v>46870</v>
      </c>
      <c r="Q48" s="19">
        <v>46895</v>
      </c>
      <c r="R48" s="19">
        <v>46958</v>
      </c>
      <c r="S48" s="21" t="s">
        <v>223</v>
      </c>
      <c r="T48" s="19">
        <v>46959</v>
      </c>
      <c r="U48" s="19">
        <v>46981</v>
      </c>
      <c r="V48" s="191"/>
      <c r="W48" s="19">
        <v>46854</v>
      </c>
      <c r="X48" s="19">
        <v>46839</v>
      </c>
      <c r="Y48" s="19">
        <v>46849</v>
      </c>
      <c r="Z48" s="19">
        <v>46855</v>
      </c>
      <c r="AA48" s="19">
        <v>46869</v>
      </c>
      <c r="AB48" s="19">
        <v>46870</v>
      </c>
      <c r="AC48" s="19">
        <v>46895</v>
      </c>
      <c r="AD48" s="19">
        <v>46958</v>
      </c>
      <c r="AE48" s="21" t="s">
        <v>223</v>
      </c>
      <c r="AF48" s="19">
        <v>46959</v>
      </c>
      <c r="AG48" s="19">
        <v>46981</v>
      </c>
      <c r="AY48" s="17"/>
      <c r="AZ48" s="17"/>
      <c r="BA48" s="17"/>
      <c r="BB48" s="17"/>
      <c r="BC48" s="17"/>
      <c r="BD48" s="17"/>
      <c r="BE48" s="17"/>
      <c r="BG48" s="5"/>
      <c r="BH48" s="134">
        <f t="shared" si="33"/>
        <v>0</v>
      </c>
      <c r="BI48" s="134">
        <f t="shared" si="34"/>
        <v>0</v>
      </c>
      <c r="BJ48" s="134">
        <f t="shared" si="35"/>
        <v>0</v>
      </c>
      <c r="BK48" s="134">
        <f t="shared" si="36"/>
        <v>0</v>
      </c>
      <c r="BL48" s="134">
        <f t="shared" si="37"/>
        <v>0</v>
      </c>
      <c r="BM48" s="134">
        <f t="shared" si="38"/>
        <v>0</v>
      </c>
      <c r="BN48" s="134">
        <f t="shared" si="39"/>
        <v>0</v>
      </c>
      <c r="BO48" s="134">
        <f t="shared" si="40"/>
        <v>0</v>
      </c>
      <c r="BP48" s="134" t="str">
        <f t="shared" si="41"/>
        <v>0</v>
      </c>
      <c r="BQ48" s="134">
        <f t="shared" si="42"/>
        <v>0</v>
      </c>
      <c r="BR48" s="134">
        <f t="shared" si="43"/>
        <v>0</v>
      </c>
      <c r="BS48" s="5"/>
    </row>
    <row r="49" spans="1:71" ht="19" customHeight="1">
      <c r="A49" s="8" t="s">
        <v>425</v>
      </c>
      <c r="B49" s="8" t="s">
        <v>433</v>
      </c>
      <c r="C49" s="8" t="s">
        <v>512</v>
      </c>
      <c r="D49" s="8" t="s">
        <v>513</v>
      </c>
      <c r="E49" s="2">
        <v>10516.761780644523</v>
      </c>
      <c r="F49" s="9" t="s">
        <v>221</v>
      </c>
      <c r="G49" s="256">
        <v>240</v>
      </c>
      <c r="H49" s="256">
        <v>683</v>
      </c>
      <c r="I49" s="256">
        <v>852</v>
      </c>
      <c r="J49" s="48">
        <v>615</v>
      </c>
      <c r="K49" s="19">
        <v>46860</v>
      </c>
      <c r="L49" s="19">
        <v>46845</v>
      </c>
      <c r="M49" s="19">
        <v>46855</v>
      </c>
      <c r="N49" s="19">
        <v>46861</v>
      </c>
      <c r="O49" s="19">
        <v>46875</v>
      </c>
      <c r="P49" s="19">
        <v>46876</v>
      </c>
      <c r="Q49" s="19">
        <v>46901</v>
      </c>
      <c r="R49" s="19">
        <v>46963</v>
      </c>
      <c r="S49" s="21" t="s">
        <v>223</v>
      </c>
      <c r="T49" s="19">
        <v>46964</v>
      </c>
      <c r="U49" s="19">
        <v>46986</v>
      </c>
      <c r="V49" s="191"/>
      <c r="W49" s="19">
        <v>46860</v>
      </c>
      <c r="X49" s="19">
        <v>46845</v>
      </c>
      <c r="Y49" s="19">
        <v>46855</v>
      </c>
      <c r="Z49" s="19">
        <v>46861</v>
      </c>
      <c r="AA49" s="19">
        <v>46875</v>
      </c>
      <c r="AB49" s="19">
        <v>46876</v>
      </c>
      <c r="AC49" s="19">
        <v>46901</v>
      </c>
      <c r="AD49" s="19">
        <v>46963</v>
      </c>
      <c r="AE49" s="21" t="s">
        <v>223</v>
      </c>
      <c r="AF49" s="19">
        <v>46964</v>
      </c>
      <c r="AG49" s="19">
        <v>46986</v>
      </c>
      <c r="AY49" s="17"/>
      <c r="AZ49" s="17"/>
      <c r="BA49" s="17"/>
      <c r="BB49" s="17"/>
      <c r="BC49" s="17"/>
      <c r="BD49" s="17"/>
      <c r="BE49" s="17"/>
      <c r="BG49" s="5"/>
      <c r="BH49" s="134">
        <f t="shared" si="33"/>
        <v>0</v>
      </c>
      <c r="BI49" s="134">
        <f t="shared" si="34"/>
        <v>0</v>
      </c>
      <c r="BJ49" s="134">
        <f t="shared" si="35"/>
        <v>0</v>
      </c>
      <c r="BK49" s="134">
        <f t="shared" si="36"/>
        <v>0</v>
      </c>
      <c r="BL49" s="134">
        <f t="shared" si="37"/>
        <v>0</v>
      </c>
      <c r="BM49" s="134">
        <f t="shared" si="38"/>
        <v>0</v>
      </c>
      <c r="BN49" s="134">
        <f t="shared" si="39"/>
        <v>0</v>
      </c>
      <c r="BO49" s="134">
        <f t="shared" si="40"/>
        <v>0</v>
      </c>
      <c r="BP49" s="134" t="str">
        <f t="shared" si="41"/>
        <v>0</v>
      </c>
      <c r="BQ49" s="134">
        <f t="shared" si="42"/>
        <v>0</v>
      </c>
      <c r="BR49" s="134">
        <f t="shared" si="43"/>
        <v>0</v>
      </c>
      <c r="BS49" s="5"/>
    </row>
    <row r="50" spans="1:71" ht="19" customHeight="1">
      <c r="A50" s="8" t="s">
        <v>425</v>
      </c>
      <c r="B50" s="8" t="s">
        <v>433</v>
      </c>
      <c r="C50" s="8" t="s">
        <v>514</v>
      </c>
      <c r="D50" s="8" t="s">
        <v>515</v>
      </c>
      <c r="E50" s="2">
        <v>9142.3822596506761</v>
      </c>
      <c r="F50" s="9" t="s">
        <v>221</v>
      </c>
      <c r="G50" s="256">
        <v>434</v>
      </c>
      <c r="H50" s="256">
        <v>1236</v>
      </c>
      <c r="I50" s="256">
        <v>1542</v>
      </c>
      <c r="J50" s="48">
        <v>1109</v>
      </c>
      <c r="K50" s="19">
        <v>46870</v>
      </c>
      <c r="L50" s="19">
        <v>46855</v>
      </c>
      <c r="M50" s="19">
        <v>46865</v>
      </c>
      <c r="N50" s="19">
        <v>46871</v>
      </c>
      <c r="O50" s="19">
        <v>46885</v>
      </c>
      <c r="P50" s="19">
        <v>46886</v>
      </c>
      <c r="Q50" s="19">
        <v>46911</v>
      </c>
      <c r="R50" s="19">
        <v>46969</v>
      </c>
      <c r="S50" s="21" t="s">
        <v>223</v>
      </c>
      <c r="T50" s="19">
        <v>46971</v>
      </c>
      <c r="U50" s="19">
        <v>46993</v>
      </c>
      <c r="V50" s="191"/>
      <c r="W50" s="19">
        <v>46870</v>
      </c>
      <c r="X50" s="19">
        <v>46855</v>
      </c>
      <c r="Y50" s="19">
        <v>46865</v>
      </c>
      <c r="Z50" s="19">
        <v>46871</v>
      </c>
      <c r="AA50" s="19">
        <v>46885</v>
      </c>
      <c r="AB50" s="19">
        <v>46886</v>
      </c>
      <c r="AC50" s="19">
        <v>46911</v>
      </c>
      <c r="AD50" s="19">
        <v>46969</v>
      </c>
      <c r="AE50" s="21" t="s">
        <v>223</v>
      </c>
      <c r="AF50" s="19">
        <v>46971</v>
      </c>
      <c r="AG50" s="19">
        <v>46993</v>
      </c>
      <c r="AY50" s="17"/>
      <c r="AZ50" s="17"/>
      <c r="BA50" s="17"/>
      <c r="BB50" s="17"/>
      <c r="BC50" s="17"/>
      <c r="BD50" s="17"/>
      <c r="BE50" s="17"/>
      <c r="BG50" s="5"/>
      <c r="BH50" s="134">
        <f t="shared" si="33"/>
        <v>0</v>
      </c>
      <c r="BI50" s="134">
        <f t="shared" si="34"/>
        <v>0</v>
      </c>
      <c r="BJ50" s="134">
        <f t="shared" si="35"/>
        <v>0</v>
      </c>
      <c r="BK50" s="134">
        <f t="shared" si="36"/>
        <v>0</v>
      </c>
      <c r="BL50" s="134">
        <f t="shared" si="37"/>
        <v>0</v>
      </c>
      <c r="BM50" s="134">
        <f t="shared" si="38"/>
        <v>0</v>
      </c>
      <c r="BN50" s="134">
        <f t="shared" si="39"/>
        <v>0</v>
      </c>
      <c r="BO50" s="134">
        <f t="shared" si="40"/>
        <v>0</v>
      </c>
      <c r="BP50" s="134" t="str">
        <f t="shared" si="41"/>
        <v>0</v>
      </c>
      <c r="BQ50" s="134">
        <f t="shared" si="42"/>
        <v>0</v>
      </c>
      <c r="BR50" s="134">
        <f t="shared" si="43"/>
        <v>0</v>
      </c>
      <c r="BS50" s="5"/>
    </row>
    <row r="51" spans="1:71" ht="19" customHeight="1">
      <c r="A51" s="8" t="s">
        <v>425</v>
      </c>
      <c r="B51" s="8" t="s">
        <v>434</v>
      </c>
      <c r="C51" s="8" t="s">
        <v>516</v>
      </c>
      <c r="D51" s="8" t="s">
        <v>517</v>
      </c>
      <c r="E51" s="2">
        <v>3589.0920028084884</v>
      </c>
      <c r="F51" s="9" t="s">
        <v>221</v>
      </c>
      <c r="G51" s="256">
        <v>58</v>
      </c>
      <c r="H51" s="256">
        <v>164</v>
      </c>
      <c r="I51" s="256">
        <v>205</v>
      </c>
      <c r="J51" s="48">
        <v>150</v>
      </c>
      <c r="K51" s="19">
        <v>46871</v>
      </c>
      <c r="L51" s="19">
        <v>46856</v>
      </c>
      <c r="M51" s="19">
        <v>46866</v>
      </c>
      <c r="N51" s="19">
        <v>46872</v>
      </c>
      <c r="O51" s="19">
        <v>46886</v>
      </c>
      <c r="P51" s="19">
        <v>46887</v>
      </c>
      <c r="Q51" s="19">
        <v>46912</v>
      </c>
      <c r="R51" s="19">
        <v>46970</v>
      </c>
      <c r="S51" s="21" t="s">
        <v>223</v>
      </c>
      <c r="T51" s="19">
        <v>46972</v>
      </c>
      <c r="U51" s="19">
        <v>46994</v>
      </c>
      <c r="V51" s="191"/>
      <c r="W51" s="19">
        <v>46871</v>
      </c>
      <c r="X51" s="19">
        <v>46856</v>
      </c>
      <c r="Y51" s="19">
        <v>46866</v>
      </c>
      <c r="Z51" s="19">
        <v>46872</v>
      </c>
      <c r="AA51" s="19">
        <v>46886</v>
      </c>
      <c r="AB51" s="19">
        <v>46887</v>
      </c>
      <c r="AC51" s="19">
        <v>46912</v>
      </c>
      <c r="AD51" s="19">
        <v>46970</v>
      </c>
      <c r="AE51" s="21" t="s">
        <v>223</v>
      </c>
      <c r="AF51" s="19">
        <v>46972</v>
      </c>
      <c r="AG51" s="19">
        <v>46994</v>
      </c>
      <c r="AY51" s="17"/>
      <c r="AZ51" s="17"/>
      <c r="BA51" s="17"/>
      <c r="BB51" s="17"/>
      <c r="BC51" s="17"/>
      <c r="BD51" s="17"/>
      <c r="BE51" s="17"/>
      <c r="BG51" s="5"/>
      <c r="BH51" s="134">
        <f t="shared" si="33"/>
        <v>0</v>
      </c>
      <c r="BI51" s="134">
        <f t="shared" si="34"/>
        <v>0</v>
      </c>
      <c r="BJ51" s="134">
        <f t="shared" si="35"/>
        <v>0</v>
      </c>
      <c r="BK51" s="134">
        <f t="shared" si="36"/>
        <v>0</v>
      </c>
      <c r="BL51" s="134">
        <f t="shared" si="37"/>
        <v>0</v>
      </c>
      <c r="BM51" s="134">
        <f t="shared" si="38"/>
        <v>0</v>
      </c>
      <c r="BN51" s="134">
        <f t="shared" si="39"/>
        <v>0</v>
      </c>
      <c r="BO51" s="134">
        <f t="shared" si="40"/>
        <v>0</v>
      </c>
      <c r="BP51" s="134" t="str">
        <f t="shared" si="41"/>
        <v>0</v>
      </c>
      <c r="BQ51" s="134">
        <f t="shared" si="42"/>
        <v>0</v>
      </c>
      <c r="BR51" s="134">
        <f t="shared" si="43"/>
        <v>0</v>
      </c>
      <c r="BS51" s="5"/>
    </row>
    <row r="52" spans="1:71" ht="19" customHeight="1">
      <c r="A52" s="8" t="s">
        <v>425</v>
      </c>
      <c r="B52" s="8" t="s">
        <v>434</v>
      </c>
      <c r="C52" s="8" t="s">
        <v>518</v>
      </c>
      <c r="D52" s="8" t="s">
        <v>519</v>
      </c>
      <c r="E52" s="2">
        <v>4499.7501828057566</v>
      </c>
      <c r="F52" s="9" t="s">
        <v>221</v>
      </c>
      <c r="G52" s="256">
        <v>83</v>
      </c>
      <c r="H52" s="256">
        <v>237</v>
      </c>
      <c r="I52" s="256">
        <v>295</v>
      </c>
      <c r="J52" s="48">
        <v>212</v>
      </c>
      <c r="K52" s="19">
        <v>46872</v>
      </c>
      <c r="L52" s="19">
        <v>46857</v>
      </c>
      <c r="M52" s="19">
        <v>46867</v>
      </c>
      <c r="N52" s="19">
        <v>46873</v>
      </c>
      <c r="O52" s="19">
        <v>46887</v>
      </c>
      <c r="P52" s="19">
        <v>46888</v>
      </c>
      <c r="Q52" s="19">
        <v>46913</v>
      </c>
      <c r="R52" s="19">
        <v>46971</v>
      </c>
      <c r="S52" s="21" t="s">
        <v>223</v>
      </c>
      <c r="T52" s="19">
        <v>46973</v>
      </c>
      <c r="U52" s="19">
        <v>46995</v>
      </c>
      <c r="V52" s="191"/>
      <c r="W52" s="19">
        <v>46872</v>
      </c>
      <c r="X52" s="19">
        <v>46857</v>
      </c>
      <c r="Y52" s="19">
        <v>46867</v>
      </c>
      <c r="Z52" s="19">
        <v>46873</v>
      </c>
      <c r="AA52" s="19">
        <v>46887</v>
      </c>
      <c r="AB52" s="19">
        <v>46888</v>
      </c>
      <c r="AC52" s="19">
        <v>46913</v>
      </c>
      <c r="AD52" s="19">
        <v>46971</v>
      </c>
      <c r="AE52" s="21" t="s">
        <v>223</v>
      </c>
      <c r="AF52" s="19">
        <v>46973</v>
      </c>
      <c r="AG52" s="19">
        <v>46995</v>
      </c>
      <c r="AY52" s="17"/>
      <c r="AZ52" s="17"/>
      <c r="BA52" s="17"/>
      <c r="BB52" s="17"/>
      <c r="BC52" s="17"/>
      <c r="BD52" s="17"/>
      <c r="BE52" s="17"/>
      <c r="BG52" s="5"/>
      <c r="BH52" s="134">
        <f t="shared" si="33"/>
        <v>0</v>
      </c>
      <c r="BI52" s="134">
        <f t="shared" si="34"/>
        <v>0</v>
      </c>
      <c r="BJ52" s="134">
        <f t="shared" si="35"/>
        <v>0</v>
      </c>
      <c r="BK52" s="134">
        <f t="shared" si="36"/>
        <v>0</v>
      </c>
      <c r="BL52" s="134">
        <f t="shared" si="37"/>
        <v>0</v>
      </c>
      <c r="BM52" s="134">
        <f t="shared" si="38"/>
        <v>0</v>
      </c>
      <c r="BN52" s="134">
        <f t="shared" si="39"/>
        <v>0</v>
      </c>
      <c r="BO52" s="134">
        <f t="shared" si="40"/>
        <v>0</v>
      </c>
      <c r="BP52" s="134" t="str">
        <f t="shared" si="41"/>
        <v>0</v>
      </c>
      <c r="BQ52" s="134">
        <f t="shared" si="42"/>
        <v>0</v>
      </c>
      <c r="BR52" s="134">
        <f t="shared" si="43"/>
        <v>0</v>
      </c>
      <c r="BS52" s="5"/>
    </row>
    <row r="53" spans="1:71" ht="19" customHeight="1">
      <c r="A53" s="8" t="s">
        <v>425</v>
      </c>
      <c r="B53" s="8" t="s">
        <v>435</v>
      </c>
      <c r="C53" s="8" t="s">
        <v>520</v>
      </c>
      <c r="D53" s="8" t="s">
        <v>521</v>
      </c>
      <c r="E53" s="2">
        <v>6725.8424711891348</v>
      </c>
      <c r="F53" s="9" t="s">
        <v>221</v>
      </c>
      <c r="G53" s="256">
        <v>131</v>
      </c>
      <c r="H53" s="256">
        <v>374</v>
      </c>
      <c r="I53" s="256">
        <v>467</v>
      </c>
      <c r="J53" s="48">
        <v>335</v>
      </c>
      <c r="K53" s="19">
        <v>46874</v>
      </c>
      <c r="L53" s="19">
        <v>46859</v>
      </c>
      <c r="M53" s="19">
        <v>46869</v>
      </c>
      <c r="N53" s="19">
        <v>46875</v>
      </c>
      <c r="O53" s="19">
        <v>46889</v>
      </c>
      <c r="P53" s="19">
        <v>46890</v>
      </c>
      <c r="Q53" s="19">
        <v>46915</v>
      </c>
      <c r="R53" s="19">
        <v>46973</v>
      </c>
      <c r="S53" s="21" t="s">
        <v>223</v>
      </c>
      <c r="T53" s="19">
        <v>46975</v>
      </c>
      <c r="U53" s="19">
        <v>46997</v>
      </c>
      <c r="V53" s="191"/>
      <c r="W53" s="19">
        <v>46874</v>
      </c>
      <c r="X53" s="19">
        <v>46859</v>
      </c>
      <c r="Y53" s="19">
        <v>46869</v>
      </c>
      <c r="Z53" s="19">
        <v>46875</v>
      </c>
      <c r="AA53" s="19">
        <v>46889</v>
      </c>
      <c r="AB53" s="19">
        <v>46890</v>
      </c>
      <c r="AC53" s="19">
        <v>46915</v>
      </c>
      <c r="AD53" s="19">
        <v>46973</v>
      </c>
      <c r="AE53" s="21" t="s">
        <v>223</v>
      </c>
      <c r="AF53" s="19">
        <v>46975</v>
      </c>
      <c r="AG53" s="19">
        <v>46997</v>
      </c>
      <c r="AY53" s="17"/>
      <c r="AZ53" s="17"/>
      <c r="BA53" s="17"/>
      <c r="BB53" s="17"/>
      <c r="BC53" s="17"/>
      <c r="BD53" s="17"/>
      <c r="BE53" s="17"/>
      <c r="BG53" s="5"/>
      <c r="BH53" s="134">
        <f t="shared" si="33"/>
        <v>0</v>
      </c>
      <c r="BI53" s="134">
        <f t="shared" si="34"/>
        <v>0</v>
      </c>
      <c r="BJ53" s="134">
        <f t="shared" si="35"/>
        <v>0</v>
      </c>
      <c r="BK53" s="134">
        <f t="shared" si="36"/>
        <v>0</v>
      </c>
      <c r="BL53" s="134">
        <f t="shared" si="37"/>
        <v>0</v>
      </c>
      <c r="BM53" s="134">
        <f t="shared" si="38"/>
        <v>0</v>
      </c>
      <c r="BN53" s="134">
        <f t="shared" si="39"/>
        <v>0</v>
      </c>
      <c r="BO53" s="134">
        <f t="shared" si="40"/>
        <v>0</v>
      </c>
      <c r="BP53" s="134" t="str">
        <f t="shared" si="41"/>
        <v>0</v>
      </c>
      <c r="BQ53" s="134">
        <f t="shared" si="42"/>
        <v>0</v>
      </c>
      <c r="BR53" s="134">
        <f t="shared" si="43"/>
        <v>0</v>
      </c>
      <c r="BS53" s="5"/>
    </row>
    <row r="54" spans="1:71" ht="19" customHeight="1">
      <c r="A54" s="8" t="s">
        <v>425</v>
      </c>
      <c r="B54" s="8" t="s">
        <v>435</v>
      </c>
      <c r="C54" s="8" t="s">
        <v>522</v>
      </c>
      <c r="D54" s="8" t="s">
        <v>523</v>
      </c>
      <c r="E54" s="2">
        <v>6988.9587267377956</v>
      </c>
      <c r="F54" s="9" t="s">
        <v>221</v>
      </c>
      <c r="G54" s="256">
        <v>114</v>
      </c>
      <c r="H54" s="256">
        <v>324</v>
      </c>
      <c r="I54" s="256">
        <v>404</v>
      </c>
      <c r="J54" s="48">
        <v>291</v>
      </c>
      <c r="K54" s="145">
        <v>46876</v>
      </c>
      <c r="L54" s="19">
        <v>46861</v>
      </c>
      <c r="M54" s="145">
        <v>46871</v>
      </c>
      <c r="N54" s="19">
        <v>46877</v>
      </c>
      <c r="O54" s="145">
        <v>46891</v>
      </c>
      <c r="P54" s="19">
        <v>46892</v>
      </c>
      <c r="Q54" s="145">
        <v>46917</v>
      </c>
      <c r="R54" s="145">
        <v>46975</v>
      </c>
      <c r="S54" s="21" t="s">
        <v>223</v>
      </c>
      <c r="T54" s="19">
        <v>46977</v>
      </c>
      <c r="U54" s="145">
        <v>46998</v>
      </c>
      <c r="V54" s="191"/>
      <c r="W54" s="145">
        <v>46876</v>
      </c>
      <c r="X54" s="19">
        <v>46861</v>
      </c>
      <c r="Y54" s="145">
        <v>46871</v>
      </c>
      <c r="Z54" s="19">
        <v>46877</v>
      </c>
      <c r="AA54" s="145">
        <v>46891</v>
      </c>
      <c r="AB54" s="19">
        <v>46892</v>
      </c>
      <c r="AC54" s="145">
        <v>46917</v>
      </c>
      <c r="AD54" s="145">
        <v>46975</v>
      </c>
      <c r="AE54" s="21" t="s">
        <v>223</v>
      </c>
      <c r="AF54" s="19">
        <v>46977</v>
      </c>
      <c r="AG54" s="145">
        <v>46998</v>
      </c>
      <c r="AY54" s="17"/>
      <c r="AZ54" s="17"/>
      <c r="BA54" s="17"/>
      <c r="BB54" s="17"/>
      <c r="BC54" s="17"/>
      <c r="BD54" s="17"/>
      <c r="BE54" s="17"/>
      <c r="BG54" s="5"/>
      <c r="BH54" s="134">
        <f t="shared" si="33"/>
        <v>0</v>
      </c>
      <c r="BI54" s="134">
        <f t="shared" si="34"/>
        <v>0</v>
      </c>
      <c r="BJ54" s="134">
        <f t="shared" si="35"/>
        <v>0</v>
      </c>
      <c r="BK54" s="134">
        <f t="shared" si="36"/>
        <v>0</v>
      </c>
      <c r="BL54" s="134">
        <f t="shared" si="37"/>
        <v>0</v>
      </c>
      <c r="BM54" s="134">
        <f t="shared" si="38"/>
        <v>0</v>
      </c>
      <c r="BN54" s="134">
        <f t="shared" si="39"/>
        <v>0</v>
      </c>
      <c r="BO54" s="134">
        <f t="shared" si="40"/>
        <v>0</v>
      </c>
      <c r="BP54" s="134" t="str">
        <f t="shared" si="41"/>
        <v>0</v>
      </c>
      <c r="BQ54" s="134">
        <f t="shared" si="42"/>
        <v>0</v>
      </c>
      <c r="BR54" s="134">
        <f t="shared" si="43"/>
        <v>0</v>
      </c>
      <c r="BS54" s="5"/>
    </row>
    <row r="55" spans="1:71" ht="19" customHeight="1">
      <c r="A55" s="8" t="s">
        <v>424</v>
      </c>
      <c r="B55" s="8" t="s">
        <v>426</v>
      </c>
      <c r="C55" s="8" t="s">
        <v>436</v>
      </c>
      <c r="D55" s="8" t="s">
        <v>437</v>
      </c>
      <c r="E55" s="2">
        <v>8940.6125597396785</v>
      </c>
      <c r="F55" s="9" t="s">
        <v>221</v>
      </c>
      <c r="G55" s="256">
        <v>94</v>
      </c>
      <c r="H55" s="256">
        <v>179</v>
      </c>
      <c r="I55" s="256">
        <v>194</v>
      </c>
      <c r="J55" s="48">
        <v>756</v>
      </c>
      <c r="K55" s="19">
        <v>46838</v>
      </c>
      <c r="L55" s="19">
        <v>46823</v>
      </c>
      <c r="M55" s="19">
        <v>46833</v>
      </c>
      <c r="N55" s="19">
        <v>46839</v>
      </c>
      <c r="O55" s="19">
        <v>46847</v>
      </c>
      <c r="P55" s="19">
        <v>46848</v>
      </c>
      <c r="Q55" s="19">
        <v>46873</v>
      </c>
      <c r="R55" s="19">
        <v>46947</v>
      </c>
      <c r="S55" s="21" t="s">
        <v>223</v>
      </c>
      <c r="T55" s="19">
        <v>46948</v>
      </c>
      <c r="U55" s="19">
        <v>46970</v>
      </c>
      <c r="V55" s="191"/>
      <c r="W55" s="19">
        <v>46838</v>
      </c>
      <c r="X55" s="19">
        <v>46823</v>
      </c>
      <c r="Y55" s="19">
        <v>46833</v>
      </c>
      <c r="Z55" s="19">
        <v>46839</v>
      </c>
      <c r="AA55" s="19">
        <v>46847</v>
      </c>
      <c r="AB55" s="19">
        <v>46848</v>
      </c>
      <c r="AC55" s="19">
        <v>46873</v>
      </c>
      <c r="AD55" s="19">
        <v>46947</v>
      </c>
      <c r="AE55" s="21" t="s">
        <v>223</v>
      </c>
      <c r="AF55" s="19">
        <v>46948</v>
      </c>
      <c r="AG55" s="19">
        <v>46970</v>
      </c>
      <c r="AY55" s="17"/>
      <c r="AZ55" s="17"/>
      <c r="BA55" s="17"/>
      <c r="BB55" s="17"/>
      <c r="BC55" s="17"/>
      <c r="BD55" s="17"/>
      <c r="BE55" s="17"/>
      <c r="BG55" s="5"/>
      <c r="BH55" s="134">
        <f t="shared" ref="BH55:BH72" si="44">IFERROR(K55-W55,"0")</f>
        <v>0</v>
      </c>
      <c r="BI55" s="134">
        <f t="shared" ref="BI55:BI72" si="45">IFERROR(L55-X55,"0")</f>
        <v>0</v>
      </c>
      <c r="BJ55" s="134">
        <f t="shared" ref="BJ55:BJ72" si="46">IFERROR(M55-Y55,"0")</f>
        <v>0</v>
      </c>
      <c r="BK55" s="134">
        <f t="shared" ref="BK55:BK72" si="47">IFERROR(N55-Z55,"0")</f>
        <v>0</v>
      </c>
      <c r="BL55" s="134">
        <f t="shared" ref="BL55:BL72" si="48">IFERROR(O55-AA55,"0")</f>
        <v>0</v>
      </c>
      <c r="BM55" s="134">
        <f t="shared" ref="BM55:BM72" si="49">IFERROR(P55-AB55,"0")</f>
        <v>0</v>
      </c>
      <c r="BN55" s="134">
        <f t="shared" ref="BN55:BN72" si="50">IFERROR(Q55-AC55,"0")</f>
        <v>0</v>
      </c>
      <c r="BO55" s="134">
        <f t="shared" ref="BO55:BO72" si="51">IFERROR(R55-AD55,"0")</f>
        <v>0</v>
      </c>
      <c r="BP55" s="134" t="str">
        <f t="shared" ref="BP55:BP72" si="52">IFERROR(S55-AE55,"0")</f>
        <v>0</v>
      </c>
      <c r="BQ55" s="134">
        <f t="shared" ref="BQ55:BQ72" si="53">IFERROR(T55-AF55,"0")</f>
        <v>0</v>
      </c>
      <c r="BR55" s="134">
        <f t="shared" ref="BR55:BR72" si="54">IFERROR(U55-AG55,"0")</f>
        <v>0</v>
      </c>
      <c r="BS55" s="5"/>
    </row>
    <row r="56" spans="1:71" ht="19" customHeight="1">
      <c r="A56" s="8" t="s">
        <v>424</v>
      </c>
      <c r="B56" s="8" t="s">
        <v>426</v>
      </c>
      <c r="C56" s="8" t="s">
        <v>438</v>
      </c>
      <c r="D56" s="8" t="s">
        <v>439</v>
      </c>
      <c r="E56" s="2">
        <v>7945.446835908112</v>
      </c>
      <c r="F56" s="9" t="s">
        <v>221</v>
      </c>
      <c r="G56" s="256">
        <v>137</v>
      </c>
      <c r="H56" s="256">
        <v>262</v>
      </c>
      <c r="I56" s="256">
        <v>282</v>
      </c>
      <c r="J56" s="48">
        <v>1107</v>
      </c>
      <c r="K56" s="19">
        <v>46880</v>
      </c>
      <c r="L56" s="19">
        <v>46865</v>
      </c>
      <c r="M56" s="19">
        <v>46875</v>
      </c>
      <c r="N56" s="19">
        <v>46881</v>
      </c>
      <c r="O56" s="19">
        <v>46889</v>
      </c>
      <c r="P56" s="19">
        <v>46890</v>
      </c>
      <c r="Q56" s="19">
        <v>46915</v>
      </c>
      <c r="R56" s="19">
        <v>46979</v>
      </c>
      <c r="S56" s="21" t="s">
        <v>223</v>
      </c>
      <c r="T56" s="19">
        <v>46981</v>
      </c>
      <c r="U56" s="19">
        <v>47003</v>
      </c>
      <c r="V56" s="191"/>
      <c r="W56" s="19">
        <v>46880</v>
      </c>
      <c r="X56" s="19">
        <v>46865</v>
      </c>
      <c r="Y56" s="19">
        <v>46875</v>
      </c>
      <c r="Z56" s="19">
        <v>46881</v>
      </c>
      <c r="AA56" s="19">
        <v>46889</v>
      </c>
      <c r="AB56" s="19">
        <v>46890</v>
      </c>
      <c r="AC56" s="19">
        <v>46915</v>
      </c>
      <c r="AD56" s="19">
        <v>46979</v>
      </c>
      <c r="AE56" s="21" t="s">
        <v>223</v>
      </c>
      <c r="AF56" s="19">
        <v>46981</v>
      </c>
      <c r="AG56" s="19">
        <v>47003</v>
      </c>
      <c r="AY56" s="17"/>
      <c r="AZ56" s="17"/>
      <c r="BA56" s="17"/>
      <c r="BB56" s="17"/>
      <c r="BC56" s="17"/>
      <c r="BD56" s="17"/>
      <c r="BE56" s="17"/>
      <c r="BG56" s="5"/>
      <c r="BH56" s="134">
        <f t="shared" si="44"/>
        <v>0</v>
      </c>
      <c r="BI56" s="134">
        <f t="shared" si="45"/>
        <v>0</v>
      </c>
      <c r="BJ56" s="134">
        <f t="shared" si="46"/>
        <v>0</v>
      </c>
      <c r="BK56" s="134">
        <f t="shared" si="47"/>
        <v>0</v>
      </c>
      <c r="BL56" s="134">
        <f t="shared" si="48"/>
        <v>0</v>
      </c>
      <c r="BM56" s="134">
        <f t="shared" si="49"/>
        <v>0</v>
      </c>
      <c r="BN56" s="134">
        <f t="shared" si="50"/>
        <v>0</v>
      </c>
      <c r="BO56" s="134">
        <f t="shared" si="51"/>
        <v>0</v>
      </c>
      <c r="BP56" s="134" t="str">
        <f t="shared" si="52"/>
        <v>0</v>
      </c>
      <c r="BQ56" s="134">
        <f t="shared" si="53"/>
        <v>0</v>
      </c>
      <c r="BR56" s="134">
        <f t="shared" si="54"/>
        <v>0</v>
      </c>
      <c r="BS56" s="5"/>
    </row>
    <row r="57" spans="1:71" ht="19" customHeight="1">
      <c r="A57" s="8" t="s">
        <v>424</v>
      </c>
      <c r="B57" s="8" t="s">
        <v>426</v>
      </c>
      <c r="C57" s="8" t="s">
        <v>440</v>
      </c>
      <c r="D57" s="8" t="s">
        <v>441</v>
      </c>
      <c r="E57" s="2">
        <v>9294.4172239585623</v>
      </c>
      <c r="F57" s="9" t="s">
        <v>221</v>
      </c>
      <c r="G57" s="256">
        <v>138</v>
      </c>
      <c r="H57" s="256">
        <v>264</v>
      </c>
      <c r="I57" s="256">
        <v>285</v>
      </c>
      <c r="J57" s="48">
        <v>1115</v>
      </c>
      <c r="K57" s="19">
        <v>46885</v>
      </c>
      <c r="L57" s="19">
        <v>46870</v>
      </c>
      <c r="M57" s="19">
        <v>46880</v>
      </c>
      <c r="N57" s="19">
        <v>46886</v>
      </c>
      <c r="O57" s="19">
        <v>46894</v>
      </c>
      <c r="P57" s="19">
        <v>46895</v>
      </c>
      <c r="Q57" s="19">
        <v>46920</v>
      </c>
      <c r="R57" s="19">
        <v>46985</v>
      </c>
      <c r="S57" s="21" t="s">
        <v>223</v>
      </c>
      <c r="T57" s="19">
        <v>46986</v>
      </c>
      <c r="U57" s="19">
        <v>47006</v>
      </c>
      <c r="V57" s="191"/>
      <c r="W57" s="19">
        <v>46885</v>
      </c>
      <c r="X57" s="19">
        <v>46870</v>
      </c>
      <c r="Y57" s="19">
        <v>46880</v>
      </c>
      <c r="Z57" s="19">
        <v>46886</v>
      </c>
      <c r="AA57" s="19">
        <v>46894</v>
      </c>
      <c r="AB57" s="19">
        <v>46895</v>
      </c>
      <c r="AC57" s="19">
        <v>46920</v>
      </c>
      <c r="AD57" s="19">
        <v>46985</v>
      </c>
      <c r="AE57" s="21" t="s">
        <v>223</v>
      </c>
      <c r="AF57" s="19">
        <v>46986</v>
      </c>
      <c r="AG57" s="19">
        <v>47006</v>
      </c>
      <c r="AY57" s="17"/>
      <c r="AZ57" s="17"/>
      <c r="BA57" s="17"/>
      <c r="BB57" s="17"/>
      <c r="BC57" s="17"/>
      <c r="BD57" s="17"/>
      <c r="BE57" s="17"/>
      <c r="BG57" s="5"/>
      <c r="BH57" s="134">
        <f t="shared" si="44"/>
        <v>0</v>
      </c>
      <c r="BI57" s="134">
        <f t="shared" si="45"/>
        <v>0</v>
      </c>
      <c r="BJ57" s="134">
        <f t="shared" si="46"/>
        <v>0</v>
      </c>
      <c r="BK57" s="134">
        <f t="shared" si="47"/>
        <v>0</v>
      </c>
      <c r="BL57" s="134">
        <f t="shared" si="48"/>
        <v>0</v>
      </c>
      <c r="BM57" s="134">
        <f t="shared" si="49"/>
        <v>0</v>
      </c>
      <c r="BN57" s="134">
        <f t="shared" si="50"/>
        <v>0</v>
      </c>
      <c r="BO57" s="134">
        <f t="shared" si="51"/>
        <v>0</v>
      </c>
      <c r="BP57" s="134" t="str">
        <f t="shared" si="52"/>
        <v>0</v>
      </c>
      <c r="BQ57" s="134">
        <f t="shared" si="53"/>
        <v>0</v>
      </c>
      <c r="BR57" s="134">
        <f t="shared" si="54"/>
        <v>0</v>
      </c>
      <c r="BS57" s="5"/>
    </row>
    <row r="58" spans="1:71" ht="19" customHeight="1">
      <c r="A58" s="8" t="s">
        <v>424</v>
      </c>
      <c r="B58" s="8" t="s">
        <v>426</v>
      </c>
      <c r="C58" s="8" t="s">
        <v>442</v>
      </c>
      <c r="D58" s="8" t="s">
        <v>443</v>
      </c>
      <c r="E58" s="2">
        <v>6975.1976371264436</v>
      </c>
      <c r="F58" s="9" t="s">
        <v>221</v>
      </c>
      <c r="G58" s="256">
        <v>132</v>
      </c>
      <c r="H58" s="256">
        <v>252</v>
      </c>
      <c r="I58" s="256">
        <v>271</v>
      </c>
      <c r="J58" s="48">
        <v>1064</v>
      </c>
      <c r="K58" s="19">
        <v>46888</v>
      </c>
      <c r="L58" s="19">
        <v>46873</v>
      </c>
      <c r="M58" s="19">
        <v>46883</v>
      </c>
      <c r="N58" s="19">
        <v>46889</v>
      </c>
      <c r="O58" s="19">
        <v>46897</v>
      </c>
      <c r="P58" s="19">
        <v>46898</v>
      </c>
      <c r="Q58" s="19">
        <v>46923</v>
      </c>
      <c r="R58" s="19">
        <v>46988</v>
      </c>
      <c r="S58" s="21" t="s">
        <v>223</v>
      </c>
      <c r="T58" s="19">
        <v>46990</v>
      </c>
      <c r="U58" s="19">
        <v>47011</v>
      </c>
      <c r="V58" s="191"/>
      <c r="W58" s="19">
        <v>46888</v>
      </c>
      <c r="X58" s="19">
        <v>46873</v>
      </c>
      <c r="Y58" s="19">
        <v>46883</v>
      </c>
      <c r="Z58" s="19">
        <v>46889</v>
      </c>
      <c r="AA58" s="19">
        <v>46897</v>
      </c>
      <c r="AB58" s="19">
        <v>46898</v>
      </c>
      <c r="AC58" s="19">
        <v>46923</v>
      </c>
      <c r="AD58" s="19">
        <v>46988</v>
      </c>
      <c r="AE58" s="21" t="s">
        <v>223</v>
      </c>
      <c r="AF58" s="19">
        <v>46990</v>
      </c>
      <c r="AG58" s="19">
        <v>47011</v>
      </c>
      <c r="AY58" s="17"/>
      <c r="AZ58" s="17"/>
      <c r="BA58" s="17"/>
      <c r="BB58" s="17"/>
      <c r="BC58" s="17"/>
      <c r="BD58" s="17"/>
      <c r="BE58" s="17"/>
      <c r="BG58" s="5"/>
      <c r="BH58" s="134">
        <f t="shared" si="44"/>
        <v>0</v>
      </c>
      <c r="BI58" s="134">
        <f t="shared" si="45"/>
        <v>0</v>
      </c>
      <c r="BJ58" s="134">
        <f t="shared" si="46"/>
        <v>0</v>
      </c>
      <c r="BK58" s="134">
        <f t="shared" si="47"/>
        <v>0</v>
      </c>
      <c r="BL58" s="134">
        <f t="shared" si="48"/>
        <v>0</v>
      </c>
      <c r="BM58" s="134">
        <f t="shared" si="49"/>
        <v>0</v>
      </c>
      <c r="BN58" s="134">
        <f t="shared" si="50"/>
        <v>0</v>
      </c>
      <c r="BO58" s="134">
        <f t="shared" si="51"/>
        <v>0</v>
      </c>
      <c r="BP58" s="134" t="str">
        <f t="shared" si="52"/>
        <v>0</v>
      </c>
      <c r="BQ58" s="134">
        <f t="shared" si="53"/>
        <v>0</v>
      </c>
      <c r="BR58" s="134">
        <f t="shared" si="54"/>
        <v>0</v>
      </c>
      <c r="BS58" s="5"/>
    </row>
    <row r="59" spans="1:71" ht="19" customHeight="1">
      <c r="A59" s="8" t="s">
        <v>424</v>
      </c>
      <c r="B59" s="8" t="s">
        <v>426</v>
      </c>
      <c r="C59" s="8" t="s">
        <v>444</v>
      </c>
      <c r="D59" s="8" t="s">
        <v>445</v>
      </c>
      <c r="E59" s="2">
        <v>8945.6474270757153</v>
      </c>
      <c r="F59" s="9" t="s">
        <v>221</v>
      </c>
      <c r="G59" s="256">
        <v>190</v>
      </c>
      <c r="H59" s="256">
        <v>363</v>
      </c>
      <c r="I59" s="256">
        <v>391</v>
      </c>
      <c r="J59" s="48">
        <v>1533</v>
      </c>
      <c r="K59" s="19">
        <v>46897</v>
      </c>
      <c r="L59" s="19">
        <v>46882</v>
      </c>
      <c r="M59" s="19">
        <v>46892</v>
      </c>
      <c r="N59" s="19">
        <v>46898</v>
      </c>
      <c r="O59" s="19">
        <v>46907</v>
      </c>
      <c r="P59" s="19">
        <v>46908</v>
      </c>
      <c r="Q59" s="19">
        <v>46932</v>
      </c>
      <c r="R59" s="19">
        <v>46999</v>
      </c>
      <c r="S59" s="21" t="s">
        <v>223</v>
      </c>
      <c r="T59" s="19">
        <v>47000</v>
      </c>
      <c r="U59" s="19">
        <v>47022</v>
      </c>
      <c r="V59" s="191"/>
      <c r="W59" s="19">
        <v>46897</v>
      </c>
      <c r="X59" s="19">
        <v>46882</v>
      </c>
      <c r="Y59" s="19">
        <v>46892</v>
      </c>
      <c r="Z59" s="19">
        <v>46898</v>
      </c>
      <c r="AA59" s="19">
        <v>46907</v>
      </c>
      <c r="AB59" s="19">
        <v>46908</v>
      </c>
      <c r="AC59" s="19">
        <v>46932</v>
      </c>
      <c r="AD59" s="19">
        <v>46999</v>
      </c>
      <c r="AE59" s="21" t="s">
        <v>223</v>
      </c>
      <c r="AF59" s="19">
        <v>47000</v>
      </c>
      <c r="AG59" s="19">
        <v>47022</v>
      </c>
      <c r="AY59" s="17"/>
      <c r="AZ59" s="17"/>
      <c r="BA59" s="17"/>
      <c r="BB59" s="17"/>
      <c r="BC59" s="17"/>
      <c r="BD59" s="17"/>
      <c r="BE59" s="17"/>
      <c r="BG59" s="5"/>
      <c r="BH59" s="134">
        <f t="shared" si="44"/>
        <v>0</v>
      </c>
      <c r="BI59" s="134">
        <f t="shared" si="45"/>
        <v>0</v>
      </c>
      <c r="BJ59" s="134">
        <f t="shared" si="46"/>
        <v>0</v>
      </c>
      <c r="BK59" s="134">
        <f t="shared" si="47"/>
        <v>0</v>
      </c>
      <c r="BL59" s="134">
        <f t="shared" si="48"/>
        <v>0</v>
      </c>
      <c r="BM59" s="134">
        <f t="shared" si="49"/>
        <v>0</v>
      </c>
      <c r="BN59" s="134">
        <f t="shared" si="50"/>
        <v>0</v>
      </c>
      <c r="BO59" s="134">
        <f t="shared" si="51"/>
        <v>0</v>
      </c>
      <c r="BP59" s="134" t="str">
        <f t="shared" si="52"/>
        <v>0</v>
      </c>
      <c r="BQ59" s="134">
        <f t="shared" si="53"/>
        <v>0</v>
      </c>
      <c r="BR59" s="134">
        <f t="shared" si="54"/>
        <v>0</v>
      </c>
      <c r="BS59" s="5"/>
    </row>
    <row r="60" spans="1:71" ht="19" customHeight="1">
      <c r="A60" s="8" t="s">
        <v>424</v>
      </c>
      <c r="B60" s="8" t="s">
        <v>427</v>
      </c>
      <c r="C60" s="8" t="s">
        <v>446</v>
      </c>
      <c r="D60" s="8" t="s">
        <v>447</v>
      </c>
      <c r="E60" s="2">
        <v>4315.9356892773894</v>
      </c>
      <c r="F60" s="9" t="s">
        <v>221</v>
      </c>
      <c r="G60" s="256">
        <v>587</v>
      </c>
      <c r="H60" s="256">
        <v>1122</v>
      </c>
      <c r="I60" s="256">
        <v>1206</v>
      </c>
      <c r="J60" s="48">
        <v>4737</v>
      </c>
      <c r="K60" s="19">
        <v>46908</v>
      </c>
      <c r="L60" s="19">
        <v>46893</v>
      </c>
      <c r="M60" s="19">
        <v>46903</v>
      </c>
      <c r="N60" s="19">
        <v>46909</v>
      </c>
      <c r="O60" s="19">
        <v>46917</v>
      </c>
      <c r="P60" s="19">
        <v>46918</v>
      </c>
      <c r="Q60" s="19">
        <v>46943</v>
      </c>
      <c r="R60" s="19">
        <v>47007</v>
      </c>
      <c r="S60" s="21" t="s">
        <v>223</v>
      </c>
      <c r="T60" s="19">
        <v>47009</v>
      </c>
      <c r="U60" s="19">
        <v>47031</v>
      </c>
      <c r="V60" s="191"/>
      <c r="W60" s="19">
        <v>46908</v>
      </c>
      <c r="X60" s="19">
        <v>46893</v>
      </c>
      <c r="Y60" s="19">
        <v>46903</v>
      </c>
      <c r="Z60" s="19">
        <v>46909</v>
      </c>
      <c r="AA60" s="19">
        <v>46917</v>
      </c>
      <c r="AB60" s="19">
        <v>46918</v>
      </c>
      <c r="AC60" s="19">
        <v>46943</v>
      </c>
      <c r="AD60" s="19">
        <v>47007</v>
      </c>
      <c r="AE60" s="21" t="s">
        <v>223</v>
      </c>
      <c r="AF60" s="19">
        <v>47009</v>
      </c>
      <c r="AG60" s="19">
        <v>47031</v>
      </c>
      <c r="AY60" s="17"/>
      <c r="AZ60" s="17"/>
      <c r="BA60" s="17"/>
      <c r="BB60" s="17"/>
      <c r="BC60" s="17"/>
      <c r="BD60" s="17"/>
      <c r="BE60" s="17"/>
      <c r="BG60" s="5"/>
      <c r="BH60" s="134">
        <f t="shared" si="44"/>
        <v>0</v>
      </c>
      <c r="BI60" s="134">
        <f t="shared" si="45"/>
        <v>0</v>
      </c>
      <c r="BJ60" s="134">
        <f t="shared" si="46"/>
        <v>0</v>
      </c>
      <c r="BK60" s="134">
        <f t="shared" si="47"/>
        <v>0</v>
      </c>
      <c r="BL60" s="134">
        <f t="shared" si="48"/>
        <v>0</v>
      </c>
      <c r="BM60" s="134">
        <f t="shared" si="49"/>
        <v>0</v>
      </c>
      <c r="BN60" s="134">
        <f t="shared" si="50"/>
        <v>0</v>
      </c>
      <c r="BO60" s="134">
        <f t="shared" si="51"/>
        <v>0</v>
      </c>
      <c r="BP60" s="134" t="str">
        <f t="shared" si="52"/>
        <v>0</v>
      </c>
      <c r="BQ60" s="134">
        <f t="shared" si="53"/>
        <v>0</v>
      </c>
      <c r="BR60" s="134">
        <f t="shared" si="54"/>
        <v>0</v>
      </c>
      <c r="BS60" s="5"/>
    </row>
    <row r="61" spans="1:71" ht="19" customHeight="1">
      <c r="A61" s="8" t="s">
        <v>424</v>
      </c>
      <c r="B61" s="8" t="s">
        <v>427</v>
      </c>
      <c r="C61" s="8" t="s">
        <v>448</v>
      </c>
      <c r="D61" s="8" t="s">
        <v>449</v>
      </c>
      <c r="E61" s="2">
        <v>6904.711854207595</v>
      </c>
      <c r="F61" s="9" t="s">
        <v>221</v>
      </c>
      <c r="G61" s="256">
        <v>176</v>
      </c>
      <c r="H61" s="256">
        <v>337</v>
      </c>
      <c r="I61" s="256">
        <v>362</v>
      </c>
      <c r="J61" s="48">
        <v>1424</v>
      </c>
      <c r="K61" s="19">
        <v>46913</v>
      </c>
      <c r="L61" s="19">
        <v>46898</v>
      </c>
      <c r="M61" s="19">
        <v>46908</v>
      </c>
      <c r="N61" s="19">
        <v>46914</v>
      </c>
      <c r="O61" s="19">
        <v>46922</v>
      </c>
      <c r="P61" s="19">
        <v>46923</v>
      </c>
      <c r="Q61" s="19">
        <v>46948</v>
      </c>
      <c r="R61" s="19">
        <v>47009</v>
      </c>
      <c r="S61" s="21" t="s">
        <v>223</v>
      </c>
      <c r="T61" s="19">
        <v>47011</v>
      </c>
      <c r="U61" s="19">
        <v>47033</v>
      </c>
      <c r="V61" s="191"/>
      <c r="W61" s="19">
        <v>46913</v>
      </c>
      <c r="X61" s="19">
        <v>46898</v>
      </c>
      <c r="Y61" s="19">
        <v>46908</v>
      </c>
      <c r="Z61" s="19">
        <v>46914</v>
      </c>
      <c r="AA61" s="19">
        <v>46922</v>
      </c>
      <c r="AB61" s="19">
        <v>46923</v>
      </c>
      <c r="AC61" s="19">
        <v>46948</v>
      </c>
      <c r="AD61" s="19">
        <v>47009</v>
      </c>
      <c r="AE61" s="21" t="s">
        <v>223</v>
      </c>
      <c r="AF61" s="19">
        <v>47011</v>
      </c>
      <c r="AG61" s="19">
        <v>47033</v>
      </c>
      <c r="AY61" s="17"/>
      <c r="AZ61" s="17"/>
      <c r="BA61" s="17"/>
      <c r="BB61" s="17"/>
      <c r="BC61" s="17"/>
      <c r="BD61" s="17"/>
      <c r="BE61" s="17"/>
      <c r="BG61" s="5"/>
      <c r="BH61" s="134">
        <f t="shared" si="44"/>
        <v>0</v>
      </c>
      <c r="BI61" s="134">
        <f t="shared" si="45"/>
        <v>0</v>
      </c>
      <c r="BJ61" s="134">
        <f t="shared" si="46"/>
        <v>0</v>
      </c>
      <c r="BK61" s="134">
        <f t="shared" si="47"/>
        <v>0</v>
      </c>
      <c r="BL61" s="134">
        <f t="shared" si="48"/>
        <v>0</v>
      </c>
      <c r="BM61" s="134">
        <f t="shared" si="49"/>
        <v>0</v>
      </c>
      <c r="BN61" s="134">
        <f t="shared" si="50"/>
        <v>0</v>
      </c>
      <c r="BO61" s="134">
        <f t="shared" si="51"/>
        <v>0</v>
      </c>
      <c r="BP61" s="134" t="str">
        <f t="shared" si="52"/>
        <v>0</v>
      </c>
      <c r="BQ61" s="134">
        <f t="shared" si="53"/>
        <v>0</v>
      </c>
      <c r="BR61" s="134">
        <f t="shared" si="54"/>
        <v>0</v>
      </c>
      <c r="BS61" s="5"/>
    </row>
    <row r="62" spans="1:71" ht="19" customHeight="1">
      <c r="A62" s="8" t="s">
        <v>424</v>
      </c>
      <c r="B62" s="8" t="s">
        <v>427</v>
      </c>
      <c r="C62" s="8" t="s">
        <v>450</v>
      </c>
      <c r="D62" s="8" t="s">
        <v>451</v>
      </c>
      <c r="E62" s="2">
        <v>15235.052144780015</v>
      </c>
      <c r="F62" s="9" t="s">
        <v>221</v>
      </c>
      <c r="G62" s="256">
        <v>540</v>
      </c>
      <c r="H62" s="256">
        <v>1033</v>
      </c>
      <c r="I62" s="256">
        <v>1110</v>
      </c>
      <c r="J62" s="48">
        <v>4364</v>
      </c>
      <c r="K62" s="19">
        <v>46926</v>
      </c>
      <c r="L62" s="19">
        <v>46911</v>
      </c>
      <c r="M62" s="19">
        <v>46921</v>
      </c>
      <c r="N62" s="19">
        <v>46927</v>
      </c>
      <c r="O62" s="19">
        <v>46935</v>
      </c>
      <c r="P62" s="19">
        <v>46936</v>
      </c>
      <c r="Q62" s="19">
        <v>46961</v>
      </c>
      <c r="R62" s="19">
        <v>47024</v>
      </c>
      <c r="S62" s="21" t="s">
        <v>223</v>
      </c>
      <c r="T62" s="19">
        <v>47026</v>
      </c>
      <c r="U62" s="19">
        <v>47048</v>
      </c>
      <c r="V62" s="191"/>
      <c r="W62" s="19">
        <v>46926</v>
      </c>
      <c r="X62" s="19">
        <v>46911</v>
      </c>
      <c r="Y62" s="19">
        <v>46921</v>
      </c>
      <c r="Z62" s="19">
        <v>46927</v>
      </c>
      <c r="AA62" s="19">
        <v>46935</v>
      </c>
      <c r="AB62" s="19">
        <v>46936</v>
      </c>
      <c r="AC62" s="19">
        <v>46961</v>
      </c>
      <c r="AD62" s="19">
        <v>47024</v>
      </c>
      <c r="AE62" s="21" t="s">
        <v>223</v>
      </c>
      <c r="AF62" s="19">
        <v>47026</v>
      </c>
      <c r="AG62" s="19">
        <v>47048</v>
      </c>
      <c r="AY62" s="17"/>
      <c r="AZ62" s="17"/>
      <c r="BA62" s="17"/>
      <c r="BB62" s="17"/>
      <c r="BC62" s="17"/>
      <c r="BD62" s="17"/>
      <c r="BE62" s="17"/>
      <c r="BG62" s="5"/>
      <c r="BH62" s="134">
        <f t="shared" si="44"/>
        <v>0</v>
      </c>
      <c r="BI62" s="134">
        <f t="shared" si="45"/>
        <v>0</v>
      </c>
      <c r="BJ62" s="134">
        <f t="shared" si="46"/>
        <v>0</v>
      </c>
      <c r="BK62" s="134">
        <f t="shared" si="47"/>
        <v>0</v>
      </c>
      <c r="BL62" s="134">
        <f t="shared" si="48"/>
        <v>0</v>
      </c>
      <c r="BM62" s="134">
        <f t="shared" si="49"/>
        <v>0</v>
      </c>
      <c r="BN62" s="134">
        <f t="shared" si="50"/>
        <v>0</v>
      </c>
      <c r="BO62" s="134">
        <f t="shared" si="51"/>
        <v>0</v>
      </c>
      <c r="BP62" s="134" t="str">
        <f t="shared" si="52"/>
        <v>0</v>
      </c>
      <c r="BQ62" s="134">
        <f t="shared" si="53"/>
        <v>0</v>
      </c>
      <c r="BR62" s="134">
        <f t="shared" si="54"/>
        <v>0</v>
      </c>
      <c r="BS62" s="5"/>
    </row>
    <row r="63" spans="1:71" ht="19" customHeight="1">
      <c r="A63" s="8" t="s">
        <v>424</v>
      </c>
      <c r="B63" s="8" t="s">
        <v>427</v>
      </c>
      <c r="C63" s="8" t="s">
        <v>452</v>
      </c>
      <c r="D63" s="8" t="s">
        <v>453</v>
      </c>
      <c r="E63" s="2">
        <v>14445.808378845291</v>
      </c>
      <c r="F63" s="9" t="s">
        <v>221</v>
      </c>
      <c r="G63" s="256">
        <v>704</v>
      </c>
      <c r="H63" s="256">
        <v>1347</v>
      </c>
      <c r="I63" s="256">
        <v>1449</v>
      </c>
      <c r="J63" s="48">
        <v>5688</v>
      </c>
      <c r="K63" s="19">
        <v>46944</v>
      </c>
      <c r="L63" s="19">
        <v>46929</v>
      </c>
      <c r="M63" s="19">
        <v>46939</v>
      </c>
      <c r="N63" s="19">
        <v>46945</v>
      </c>
      <c r="O63" s="19">
        <v>46953</v>
      </c>
      <c r="P63" s="19">
        <v>46954</v>
      </c>
      <c r="Q63" s="19">
        <v>46979</v>
      </c>
      <c r="R63" s="19">
        <v>47040</v>
      </c>
      <c r="S63" s="21" t="s">
        <v>223</v>
      </c>
      <c r="T63" s="19">
        <v>47041</v>
      </c>
      <c r="U63" s="19">
        <v>47063</v>
      </c>
      <c r="V63" s="191"/>
      <c r="W63" s="19">
        <v>46944</v>
      </c>
      <c r="X63" s="19">
        <v>46929</v>
      </c>
      <c r="Y63" s="19">
        <v>46939</v>
      </c>
      <c r="Z63" s="19">
        <v>46945</v>
      </c>
      <c r="AA63" s="19">
        <v>46953</v>
      </c>
      <c r="AB63" s="19">
        <v>46954</v>
      </c>
      <c r="AC63" s="19">
        <v>46979</v>
      </c>
      <c r="AD63" s="19">
        <v>47040</v>
      </c>
      <c r="AE63" s="21" t="s">
        <v>223</v>
      </c>
      <c r="AF63" s="19">
        <v>47041</v>
      </c>
      <c r="AG63" s="19">
        <v>47063</v>
      </c>
      <c r="AY63" s="17"/>
      <c r="AZ63" s="17"/>
      <c r="BA63" s="17"/>
      <c r="BB63" s="17"/>
      <c r="BC63" s="17"/>
      <c r="BD63" s="17"/>
      <c r="BE63" s="17"/>
      <c r="BG63" s="5"/>
      <c r="BH63" s="134">
        <f t="shared" si="44"/>
        <v>0</v>
      </c>
      <c r="BI63" s="134">
        <f t="shared" si="45"/>
        <v>0</v>
      </c>
      <c r="BJ63" s="134">
        <f t="shared" si="46"/>
        <v>0</v>
      </c>
      <c r="BK63" s="134">
        <f t="shared" si="47"/>
        <v>0</v>
      </c>
      <c r="BL63" s="134">
        <f t="shared" si="48"/>
        <v>0</v>
      </c>
      <c r="BM63" s="134">
        <f t="shared" si="49"/>
        <v>0</v>
      </c>
      <c r="BN63" s="134">
        <f t="shared" si="50"/>
        <v>0</v>
      </c>
      <c r="BO63" s="134">
        <f t="shared" si="51"/>
        <v>0</v>
      </c>
      <c r="BP63" s="134" t="str">
        <f t="shared" si="52"/>
        <v>0</v>
      </c>
      <c r="BQ63" s="134">
        <f t="shared" si="53"/>
        <v>0</v>
      </c>
      <c r="BR63" s="134">
        <f t="shared" si="54"/>
        <v>0</v>
      </c>
      <c r="BS63" s="5"/>
    </row>
    <row r="64" spans="1:71" ht="19" customHeight="1">
      <c r="A64" s="8" t="s">
        <v>424</v>
      </c>
      <c r="B64" s="8" t="s">
        <v>427</v>
      </c>
      <c r="C64" s="8" t="s">
        <v>454</v>
      </c>
      <c r="D64" s="8" t="s">
        <v>455</v>
      </c>
      <c r="E64" s="2">
        <v>4142.3365037327521</v>
      </c>
      <c r="F64" s="9" t="s">
        <v>221</v>
      </c>
      <c r="G64" s="256">
        <v>52</v>
      </c>
      <c r="H64" s="256">
        <v>100</v>
      </c>
      <c r="I64" s="256">
        <v>107</v>
      </c>
      <c r="J64" s="48">
        <v>420</v>
      </c>
      <c r="K64" s="19">
        <v>46945</v>
      </c>
      <c r="L64" s="19">
        <v>46930</v>
      </c>
      <c r="M64" s="19">
        <v>46940</v>
      </c>
      <c r="N64" s="19">
        <v>46946</v>
      </c>
      <c r="O64" s="19">
        <v>46954</v>
      </c>
      <c r="P64" s="19">
        <v>46955</v>
      </c>
      <c r="Q64" s="19">
        <v>46981</v>
      </c>
      <c r="R64" s="19">
        <v>47041</v>
      </c>
      <c r="S64" s="21" t="s">
        <v>223</v>
      </c>
      <c r="T64" s="19">
        <v>47042</v>
      </c>
      <c r="U64" s="19">
        <v>47064</v>
      </c>
      <c r="V64" s="191"/>
      <c r="W64" s="19">
        <v>46945</v>
      </c>
      <c r="X64" s="19">
        <v>46930</v>
      </c>
      <c r="Y64" s="19">
        <v>46940</v>
      </c>
      <c r="Z64" s="19">
        <v>46946</v>
      </c>
      <c r="AA64" s="19">
        <v>46954</v>
      </c>
      <c r="AB64" s="19">
        <v>46955</v>
      </c>
      <c r="AC64" s="19">
        <v>46981</v>
      </c>
      <c r="AD64" s="19">
        <v>47041</v>
      </c>
      <c r="AE64" s="21" t="s">
        <v>223</v>
      </c>
      <c r="AF64" s="19">
        <v>47042</v>
      </c>
      <c r="AG64" s="19">
        <v>47064</v>
      </c>
      <c r="AY64" s="17"/>
      <c r="AZ64" s="17"/>
      <c r="BA64" s="17"/>
      <c r="BB64" s="17"/>
      <c r="BC64" s="17"/>
      <c r="BD64" s="17"/>
      <c r="BE64" s="17"/>
      <c r="BG64" s="5"/>
      <c r="BH64" s="134">
        <f t="shared" si="44"/>
        <v>0</v>
      </c>
      <c r="BI64" s="134">
        <f t="shared" si="45"/>
        <v>0</v>
      </c>
      <c r="BJ64" s="134">
        <f t="shared" si="46"/>
        <v>0</v>
      </c>
      <c r="BK64" s="134">
        <f t="shared" si="47"/>
        <v>0</v>
      </c>
      <c r="BL64" s="134">
        <f t="shared" si="48"/>
        <v>0</v>
      </c>
      <c r="BM64" s="134">
        <f t="shared" si="49"/>
        <v>0</v>
      </c>
      <c r="BN64" s="134">
        <f t="shared" si="50"/>
        <v>0</v>
      </c>
      <c r="BO64" s="134">
        <f t="shared" si="51"/>
        <v>0</v>
      </c>
      <c r="BP64" s="134" t="str">
        <f t="shared" si="52"/>
        <v>0</v>
      </c>
      <c r="BQ64" s="134">
        <f t="shared" si="53"/>
        <v>0</v>
      </c>
      <c r="BR64" s="134">
        <f t="shared" si="54"/>
        <v>0</v>
      </c>
      <c r="BS64" s="5"/>
    </row>
    <row r="65" spans="1:71" ht="19" customHeight="1">
      <c r="A65" s="8" t="s">
        <v>424</v>
      </c>
      <c r="B65" s="8" t="s">
        <v>427</v>
      </c>
      <c r="C65" s="8" t="s">
        <v>456</v>
      </c>
      <c r="D65" s="8" t="s">
        <v>457</v>
      </c>
      <c r="E65" s="2">
        <v>8833.8220027112984</v>
      </c>
      <c r="F65" s="9" t="s">
        <v>221</v>
      </c>
      <c r="G65" s="256">
        <v>107</v>
      </c>
      <c r="H65" s="256">
        <v>205</v>
      </c>
      <c r="I65" s="256">
        <v>221</v>
      </c>
      <c r="J65" s="48">
        <v>864</v>
      </c>
      <c r="K65" s="19">
        <v>46948</v>
      </c>
      <c r="L65" s="19">
        <v>46933</v>
      </c>
      <c r="M65" s="19">
        <v>46943</v>
      </c>
      <c r="N65" s="19">
        <v>46949</v>
      </c>
      <c r="O65" s="19">
        <v>46957</v>
      </c>
      <c r="P65" s="19">
        <v>46958</v>
      </c>
      <c r="Q65" s="19">
        <v>46983</v>
      </c>
      <c r="R65" s="19">
        <v>47045</v>
      </c>
      <c r="S65" s="21" t="s">
        <v>223</v>
      </c>
      <c r="T65" s="19">
        <v>47046</v>
      </c>
      <c r="U65" s="19">
        <v>47068</v>
      </c>
      <c r="V65" s="191"/>
      <c r="W65" s="19">
        <v>46948</v>
      </c>
      <c r="X65" s="19">
        <v>46933</v>
      </c>
      <c r="Y65" s="19">
        <v>46943</v>
      </c>
      <c r="Z65" s="19">
        <v>46949</v>
      </c>
      <c r="AA65" s="19">
        <v>46957</v>
      </c>
      <c r="AB65" s="19">
        <v>46958</v>
      </c>
      <c r="AC65" s="19">
        <v>46983</v>
      </c>
      <c r="AD65" s="19">
        <v>47045</v>
      </c>
      <c r="AE65" s="21" t="s">
        <v>223</v>
      </c>
      <c r="AF65" s="19">
        <v>47046</v>
      </c>
      <c r="AG65" s="19">
        <v>47068</v>
      </c>
      <c r="AY65" s="17"/>
      <c r="AZ65" s="17"/>
      <c r="BA65" s="17"/>
      <c r="BB65" s="17"/>
      <c r="BC65" s="17"/>
      <c r="BD65" s="17"/>
      <c r="BE65" s="17"/>
      <c r="BG65" s="5"/>
      <c r="BH65" s="134">
        <f t="shared" si="44"/>
        <v>0</v>
      </c>
      <c r="BI65" s="134">
        <f t="shared" si="45"/>
        <v>0</v>
      </c>
      <c r="BJ65" s="134">
        <f t="shared" si="46"/>
        <v>0</v>
      </c>
      <c r="BK65" s="134">
        <f t="shared" si="47"/>
        <v>0</v>
      </c>
      <c r="BL65" s="134">
        <f t="shared" si="48"/>
        <v>0</v>
      </c>
      <c r="BM65" s="134">
        <f t="shared" si="49"/>
        <v>0</v>
      </c>
      <c r="BN65" s="134">
        <f t="shared" si="50"/>
        <v>0</v>
      </c>
      <c r="BO65" s="134">
        <f t="shared" si="51"/>
        <v>0</v>
      </c>
      <c r="BP65" s="134" t="str">
        <f t="shared" si="52"/>
        <v>0</v>
      </c>
      <c r="BQ65" s="134">
        <f t="shared" si="53"/>
        <v>0</v>
      </c>
      <c r="BR65" s="134">
        <f t="shared" si="54"/>
        <v>0</v>
      </c>
      <c r="BS65" s="5"/>
    </row>
    <row r="66" spans="1:71" ht="19" customHeight="1">
      <c r="A66" s="8" t="s">
        <v>424</v>
      </c>
      <c r="B66" s="8" t="s">
        <v>427</v>
      </c>
      <c r="C66" s="8" t="s">
        <v>458</v>
      </c>
      <c r="D66" s="8" t="s">
        <v>459</v>
      </c>
      <c r="E66" s="2">
        <v>7974.742510957054</v>
      </c>
      <c r="F66" s="9" t="s">
        <v>221</v>
      </c>
      <c r="G66" s="256">
        <v>154</v>
      </c>
      <c r="H66" s="256">
        <v>294</v>
      </c>
      <c r="I66" s="256">
        <v>317</v>
      </c>
      <c r="J66" s="48">
        <v>1242</v>
      </c>
      <c r="K66" s="19">
        <v>46954</v>
      </c>
      <c r="L66" s="19">
        <v>46939</v>
      </c>
      <c r="M66" s="19">
        <v>46949</v>
      </c>
      <c r="N66" s="19">
        <v>46955</v>
      </c>
      <c r="O66" s="19">
        <v>46963</v>
      </c>
      <c r="P66" s="19">
        <v>46964</v>
      </c>
      <c r="Q66" s="19">
        <v>46989</v>
      </c>
      <c r="R66" s="19">
        <v>47049</v>
      </c>
      <c r="S66" s="21" t="s">
        <v>223</v>
      </c>
      <c r="T66" s="19">
        <v>47050</v>
      </c>
      <c r="U66" s="19">
        <v>47072</v>
      </c>
      <c r="V66" s="191"/>
      <c r="W66" s="19">
        <v>46954</v>
      </c>
      <c r="X66" s="19">
        <v>46939</v>
      </c>
      <c r="Y66" s="19">
        <v>46949</v>
      </c>
      <c r="Z66" s="19">
        <v>46955</v>
      </c>
      <c r="AA66" s="19">
        <v>46963</v>
      </c>
      <c r="AB66" s="19">
        <v>46964</v>
      </c>
      <c r="AC66" s="19">
        <v>46989</v>
      </c>
      <c r="AD66" s="19">
        <v>47049</v>
      </c>
      <c r="AE66" s="21" t="s">
        <v>223</v>
      </c>
      <c r="AF66" s="19">
        <v>47050</v>
      </c>
      <c r="AG66" s="19">
        <v>47072</v>
      </c>
      <c r="AY66" s="17"/>
      <c r="AZ66" s="17"/>
      <c r="BA66" s="17"/>
      <c r="BB66" s="17"/>
      <c r="BC66" s="17"/>
      <c r="BD66" s="17"/>
      <c r="BE66" s="17"/>
      <c r="BG66" s="5"/>
      <c r="BH66" s="134">
        <f t="shared" si="44"/>
        <v>0</v>
      </c>
      <c r="BI66" s="134">
        <f t="shared" si="45"/>
        <v>0</v>
      </c>
      <c r="BJ66" s="134">
        <f t="shared" si="46"/>
        <v>0</v>
      </c>
      <c r="BK66" s="134">
        <f t="shared" si="47"/>
        <v>0</v>
      </c>
      <c r="BL66" s="134">
        <f t="shared" si="48"/>
        <v>0</v>
      </c>
      <c r="BM66" s="134">
        <f t="shared" si="49"/>
        <v>0</v>
      </c>
      <c r="BN66" s="134">
        <f t="shared" si="50"/>
        <v>0</v>
      </c>
      <c r="BO66" s="134">
        <f t="shared" si="51"/>
        <v>0</v>
      </c>
      <c r="BP66" s="134" t="str">
        <f t="shared" si="52"/>
        <v>0</v>
      </c>
      <c r="BQ66" s="134">
        <f t="shared" si="53"/>
        <v>0</v>
      </c>
      <c r="BR66" s="134">
        <f t="shared" si="54"/>
        <v>0</v>
      </c>
      <c r="BS66" s="5"/>
    </row>
    <row r="67" spans="1:71" ht="19" customHeight="1">
      <c r="A67" s="8" t="s">
        <v>424</v>
      </c>
      <c r="B67" s="8" t="s">
        <v>428</v>
      </c>
      <c r="C67" s="8" t="s">
        <v>460</v>
      </c>
      <c r="D67" s="8" t="s">
        <v>461</v>
      </c>
      <c r="E67" s="2">
        <v>3307.880251980916</v>
      </c>
      <c r="F67" s="9" t="s">
        <v>221</v>
      </c>
      <c r="G67" s="256">
        <v>143</v>
      </c>
      <c r="H67" s="256">
        <v>275</v>
      </c>
      <c r="I67" s="256">
        <v>294</v>
      </c>
      <c r="J67" s="48">
        <v>1157</v>
      </c>
      <c r="K67" s="19">
        <v>46956</v>
      </c>
      <c r="L67" s="19">
        <v>46941</v>
      </c>
      <c r="M67" s="19">
        <v>46951</v>
      </c>
      <c r="N67" s="19">
        <v>46957</v>
      </c>
      <c r="O67" s="19">
        <v>46965</v>
      </c>
      <c r="P67" s="19">
        <v>46966</v>
      </c>
      <c r="Q67" s="19">
        <v>46991</v>
      </c>
      <c r="R67" s="19">
        <v>47050</v>
      </c>
      <c r="S67" s="21" t="s">
        <v>223</v>
      </c>
      <c r="T67" s="19">
        <v>47051</v>
      </c>
      <c r="U67" s="19">
        <v>47073</v>
      </c>
      <c r="V67" s="191"/>
      <c r="W67" s="19">
        <v>46956</v>
      </c>
      <c r="X67" s="19">
        <v>46941</v>
      </c>
      <c r="Y67" s="19">
        <v>46951</v>
      </c>
      <c r="Z67" s="19">
        <v>46957</v>
      </c>
      <c r="AA67" s="19">
        <v>46965</v>
      </c>
      <c r="AB67" s="19">
        <v>46966</v>
      </c>
      <c r="AC67" s="19">
        <v>46991</v>
      </c>
      <c r="AD67" s="19">
        <v>47050</v>
      </c>
      <c r="AE67" s="21" t="s">
        <v>223</v>
      </c>
      <c r="AF67" s="19">
        <v>47051</v>
      </c>
      <c r="AG67" s="19">
        <v>47073</v>
      </c>
      <c r="AY67" s="17"/>
      <c r="AZ67" s="17"/>
      <c r="BA67" s="17"/>
      <c r="BB67" s="17"/>
      <c r="BC67" s="17"/>
      <c r="BD67" s="17"/>
      <c r="BE67" s="17"/>
      <c r="BG67" s="5"/>
      <c r="BH67" s="134">
        <f t="shared" si="44"/>
        <v>0</v>
      </c>
      <c r="BI67" s="134">
        <f t="shared" si="45"/>
        <v>0</v>
      </c>
      <c r="BJ67" s="134">
        <f t="shared" si="46"/>
        <v>0</v>
      </c>
      <c r="BK67" s="134">
        <f t="shared" si="47"/>
        <v>0</v>
      </c>
      <c r="BL67" s="134">
        <f t="shared" si="48"/>
        <v>0</v>
      </c>
      <c r="BM67" s="134">
        <f t="shared" si="49"/>
        <v>0</v>
      </c>
      <c r="BN67" s="134">
        <f t="shared" si="50"/>
        <v>0</v>
      </c>
      <c r="BO67" s="134">
        <f t="shared" si="51"/>
        <v>0</v>
      </c>
      <c r="BP67" s="134" t="str">
        <f t="shared" si="52"/>
        <v>0</v>
      </c>
      <c r="BQ67" s="134">
        <f t="shared" si="53"/>
        <v>0</v>
      </c>
      <c r="BR67" s="134">
        <f t="shared" si="54"/>
        <v>0</v>
      </c>
      <c r="BS67" s="5"/>
    </row>
    <row r="68" spans="1:71" ht="19" customHeight="1">
      <c r="A68" s="8" t="s">
        <v>424</v>
      </c>
      <c r="B68" s="8" t="s">
        <v>428</v>
      </c>
      <c r="C68" s="8" t="s">
        <v>462</v>
      </c>
      <c r="D68" s="8" t="s">
        <v>463</v>
      </c>
      <c r="E68" s="2">
        <v>10514.308514180691</v>
      </c>
      <c r="F68" s="9" t="s">
        <v>221</v>
      </c>
      <c r="G68" s="256">
        <v>127</v>
      </c>
      <c r="H68" s="256">
        <v>242</v>
      </c>
      <c r="I68" s="256">
        <v>262</v>
      </c>
      <c r="J68" s="48">
        <v>1021</v>
      </c>
      <c r="K68" s="19">
        <v>46962</v>
      </c>
      <c r="L68" s="19">
        <v>46947</v>
      </c>
      <c r="M68" s="19">
        <v>46957</v>
      </c>
      <c r="N68" s="19">
        <v>46963</v>
      </c>
      <c r="O68" s="19">
        <v>46971</v>
      </c>
      <c r="P68" s="19">
        <v>46972</v>
      </c>
      <c r="Q68" s="19">
        <v>46997</v>
      </c>
      <c r="R68" s="19">
        <v>47056</v>
      </c>
      <c r="S68" s="21" t="s">
        <v>223</v>
      </c>
      <c r="T68" s="19">
        <v>47057</v>
      </c>
      <c r="U68" s="19">
        <v>47079</v>
      </c>
      <c r="V68" s="191"/>
      <c r="W68" s="19">
        <v>46962</v>
      </c>
      <c r="X68" s="19">
        <v>46947</v>
      </c>
      <c r="Y68" s="19">
        <v>46957</v>
      </c>
      <c r="Z68" s="19">
        <v>46963</v>
      </c>
      <c r="AA68" s="19">
        <v>46971</v>
      </c>
      <c r="AB68" s="19">
        <v>46972</v>
      </c>
      <c r="AC68" s="19">
        <v>46997</v>
      </c>
      <c r="AD68" s="19">
        <v>47056</v>
      </c>
      <c r="AE68" s="21" t="s">
        <v>223</v>
      </c>
      <c r="AF68" s="19">
        <v>47057</v>
      </c>
      <c r="AG68" s="19">
        <v>47079</v>
      </c>
      <c r="AY68" s="17"/>
      <c r="AZ68" s="17"/>
      <c r="BA68" s="17"/>
      <c r="BB68" s="17"/>
      <c r="BC68" s="17"/>
      <c r="BD68" s="17"/>
      <c r="BE68" s="17"/>
      <c r="BG68" s="5"/>
      <c r="BH68" s="134">
        <f t="shared" si="44"/>
        <v>0</v>
      </c>
      <c r="BI68" s="134">
        <f t="shared" si="45"/>
        <v>0</v>
      </c>
      <c r="BJ68" s="134">
        <f t="shared" si="46"/>
        <v>0</v>
      </c>
      <c r="BK68" s="134">
        <f t="shared" si="47"/>
        <v>0</v>
      </c>
      <c r="BL68" s="134">
        <f t="shared" si="48"/>
        <v>0</v>
      </c>
      <c r="BM68" s="134">
        <f t="shared" si="49"/>
        <v>0</v>
      </c>
      <c r="BN68" s="134">
        <f t="shared" si="50"/>
        <v>0</v>
      </c>
      <c r="BO68" s="134">
        <f t="shared" si="51"/>
        <v>0</v>
      </c>
      <c r="BP68" s="134" t="str">
        <f t="shared" si="52"/>
        <v>0</v>
      </c>
      <c r="BQ68" s="134">
        <f t="shared" si="53"/>
        <v>0</v>
      </c>
      <c r="BR68" s="134">
        <f t="shared" si="54"/>
        <v>0</v>
      </c>
      <c r="BS68" s="5"/>
    </row>
    <row r="69" spans="1:71" ht="19" customHeight="1">
      <c r="A69" s="8" t="s">
        <v>424</v>
      </c>
      <c r="B69" s="8" t="s">
        <v>428</v>
      </c>
      <c r="C69" s="8" t="s">
        <v>464</v>
      </c>
      <c r="D69" s="8" t="s">
        <v>465</v>
      </c>
      <c r="E69" s="2">
        <v>4840.8377192336065</v>
      </c>
      <c r="F69" s="9" t="s">
        <v>221</v>
      </c>
      <c r="G69" s="256">
        <v>81</v>
      </c>
      <c r="H69" s="256">
        <v>156</v>
      </c>
      <c r="I69" s="256">
        <v>168</v>
      </c>
      <c r="J69" s="48">
        <v>659</v>
      </c>
      <c r="K69" s="19">
        <v>46964</v>
      </c>
      <c r="L69" s="19">
        <v>46949</v>
      </c>
      <c r="M69" s="19">
        <v>46959</v>
      </c>
      <c r="N69" s="19">
        <v>46965</v>
      </c>
      <c r="O69" s="19">
        <v>46973</v>
      </c>
      <c r="P69" s="19">
        <v>46974</v>
      </c>
      <c r="Q69" s="19">
        <v>46999</v>
      </c>
      <c r="R69" s="19">
        <v>47059</v>
      </c>
      <c r="S69" s="21" t="s">
        <v>223</v>
      </c>
      <c r="T69" s="19">
        <v>47060</v>
      </c>
      <c r="U69" s="19">
        <v>47082</v>
      </c>
      <c r="V69" s="191"/>
      <c r="W69" s="19">
        <v>46964</v>
      </c>
      <c r="X69" s="19">
        <v>46949</v>
      </c>
      <c r="Y69" s="19">
        <v>46959</v>
      </c>
      <c r="Z69" s="19">
        <v>46965</v>
      </c>
      <c r="AA69" s="19">
        <v>46973</v>
      </c>
      <c r="AB69" s="19">
        <v>46974</v>
      </c>
      <c r="AC69" s="19">
        <v>46999</v>
      </c>
      <c r="AD69" s="19">
        <v>47059</v>
      </c>
      <c r="AE69" s="21" t="s">
        <v>223</v>
      </c>
      <c r="AF69" s="19">
        <v>47060</v>
      </c>
      <c r="AG69" s="19">
        <v>47082</v>
      </c>
      <c r="AY69" s="17"/>
      <c r="AZ69" s="17"/>
      <c r="BA69" s="17"/>
      <c r="BB69" s="17"/>
      <c r="BC69" s="17"/>
      <c r="BD69" s="17"/>
      <c r="BE69" s="17"/>
      <c r="BG69" s="5"/>
      <c r="BH69" s="134">
        <f t="shared" si="44"/>
        <v>0</v>
      </c>
      <c r="BI69" s="134">
        <f t="shared" si="45"/>
        <v>0</v>
      </c>
      <c r="BJ69" s="134">
        <f t="shared" si="46"/>
        <v>0</v>
      </c>
      <c r="BK69" s="134">
        <f t="shared" si="47"/>
        <v>0</v>
      </c>
      <c r="BL69" s="134">
        <f t="shared" si="48"/>
        <v>0</v>
      </c>
      <c r="BM69" s="134">
        <f t="shared" si="49"/>
        <v>0</v>
      </c>
      <c r="BN69" s="134">
        <f t="shared" si="50"/>
        <v>0</v>
      </c>
      <c r="BO69" s="134">
        <f t="shared" si="51"/>
        <v>0</v>
      </c>
      <c r="BP69" s="134" t="str">
        <f t="shared" si="52"/>
        <v>0</v>
      </c>
      <c r="BQ69" s="134">
        <f t="shared" si="53"/>
        <v>0</v>
      </c>
      <c r="BR69" s="134">
        <f t="shared" si="54"/>
        <v>0</v>
      </c>
      <c r="BS69" s="5"/>
    </row>
    <row r="70" spans="1:71" ht="19" customHeight="1">
      <c r="A70" s="8" t="s">
        <v>424</v>
      </c>
      <c r="B70" s="8" t="s">
        <v>428</v>
      </c>
      <c r="C70" s="8" t="s">
        <v>466</v>
      </c>
      <c r="D70" s="8" t="s">
        <v>467</v>
      </c>
      <c r="E70" s="2">
        <v>10575.002908751863</v>
      </c>
      <c r="F70" s="9" t="s">
        <v>221</v>
      </c>
      <c r="G70" s="256">
        <v>146</v>
      </c>
      <c r="H70" s="256">
        <v>279</v>
      </c>
      <c r="I70" s="256">
        <v>300</v>
      </c>
      <c r="J70" s="48">
        <v>1176</v>
      </c>
      <c r="K70" s="19">
        <v>46970</v>
      </c>
      <c r="L70" s="19">
        <v>46955</v>
      </c>
      <c r="M70" s="19">
        <v>46965</v>
      </c>
      <c r="N70" s="19">
        <v>46971</v>
      </c>
      <c r="O70" s="19">
        <v>46979</v>
      </c>
      <c r="P70" s="19">
        <v>46981</v>
      </c>
      <c r="Q70" s="19">
        <v>47005</v>
      </c>
      <c r="R70" s="19">
        <v>47064</v>
      </c>
      <c r="S70" s="21" t="s">
        <v>223</v>
      </c>
      <c r="T70" s="19">
        <v>47065</v>
      </c>
      <c r="U70" s="19">
        <v>47087</v>
      </c>
      <c r="V70" s="191"/>
      <c r="W70" s="19">
        <v>46970</v>
      </c>
      <c r="X70" s="19">
        <v>46955</v>
      </c>
      <c r="Y70" s="19">
        <v>46965</v>
      </c>
      <c r="Z70" s="19">
        <v>46971</v>
      </c>
      <c r="AA70" s="19">
        <v>46979</v>
      </c>
      <c r="AB70" s="19">
        <v>46981</v>
      </c>
      <c r="AC70" s="19">
        <v>47005</v>
      </c>
      <c r="AD70" s="19">
        <v>47064</v>
      </c>
      <c r="AE70" s="21" t="s">
        <v>223</v>
      </c>
      <c r="AF70" s="19">
        <v>47065</v>
      </c>
      <c r="AG70" s="19">
        <v>47087</v>
      </c>
      <c r="AY70" s="17"/>
      <c r="AZ70" s="17"/>
      <c r="BA70" s="17"/>
      <c r="BB70" s="17"/>
      <c r="BC70" s="17"/>
      <c r="BD70" s="17"/>
      <c r="BE70" s="17"/>
      <c r="BG70" s="5"/>
      <c r="BH70" s="134">
        <f t="shared" si="44"/>
        <v>0</v>
      </c>
      <c r="BI70" s="134">
        <f t="shared" si="45"/>
        <v>0</v>
      </c>
      <c r="BJ70" s="134">
        <f t="shared" si="46"/>
        <v>0</v>
      </c>
      <c r="BK70" s="134">
        <f t="shared" si="47"/>
        <v>0</v>
      </c>
      <c r="BL70" s="134">
        <f t="shared" si="48"/>
        <v>0</v>
      </c>
      <c r="BM70" s="134">
        <f t="shared" si="49"/>
        <v>0</v>
      </c>
      <c r="BN70" s="134">
        <f t="shared" si="50"/>
        <v>0</v>
      </c>
      <c r="BO70" s="134">
        <f t="shared" si="51"/>
        <v>0</v>
      </c>
      <c r="BP70" s="134" t="str">
        <f t="shared" si="52"/>
        <v>0</v>
      </c>
      <c r="BQ70" s="134">
        <f t="shared" si="53"/>
        <v>0</v>
      </c>
      <c r="BR70" s="134">
        <f t="shared" si="54"/>
        <v>0</v>
      </c>
      <c r="BS70" s="5"/>
    </row>
    <row r="71" spans="1:71" ht="19" customHeight="1">
      <c r="A71" s="8" t="s">
        <v>424</v>
      </c>
      <c r="B71" s="8" t="s">
        <v>428</v>
      </c>
      <c r="C71" s="8" t="s">
        <v>468</v>
      </c>
      <c r="D71" s="8" t="s">
        <v>469</v>
      </c>
      <c r="E71" s="2">
        <v>11205.202312439493</v>
      </c>
      <c r="F71" s="9" t="s">
        <v>221</v>
      </c>
      <c r="G71" s="256">
        <v>152</v>
      </c>
      <c r="H71" s="256">
        <v>291</v>
      </c>
      <c r="I71" s="256">
        <v>313</v>
      </c>
      <c r="J71" s="48">
        <v>1227</v>
      </c>
      <c r="K71" s="19">
        <v>46976</v>
      </c>
      <c r="L71" s="19">
        <v>46961</v>
      </c>
      <c r="M71" s="19">
        <v>46971</v>
      </c>
      <c r="N71" s="19">
        <v>46977</v>
      </c>
      <c r="O71" s="19">
        <v>46986</v>
      </c>
      <c r="P71" s="19">
        <v>46987</v>
      </c>
      <c r="Q71" s="19">
        <v>47012</v>
      </c>
      <c r="R71" s="19">
        <v>47070</v>
      </c>
      <c r="S71" s="21" t="s">
        <v>223</v>
      </c>
      <c r="T71" s="19">
        <v>47071</v>
      </c>
      <c r="U71" s="19">
        <v>47093</v>
      </c>
      <c r="V71" s="191"/>
      <c r="W71" s="19">
        <v>46976</v>
      </c>
      <c r="X71" s="19">
        <v>46961</v>
      </c>
      <c r="Y71" s="19">
        <v>46971</v>
      </c>
      <c r="Z71" s="19">
        <v>46977</v>
      </c>
      <c r="AA71" s="19">
        <v>46986</v>
      </c>
      <c r="AB71" s="19">
        <v>46987</v>
      </c>
      <c r="AC71" s="19">
        <v>47012</v>
      </c>
      <c r="AD71" s="19">
        <v>47070</v>
      </c>
      <c r="AE71" s="21" t="s">
        <v>223</v>
      </c>
      <c r="AF71" s="19">
        <v>47071</v>
      </c>
      <c r="AG71" s="19">
        <v>47093</v>
      </c>
      <c r="AY71" s="17"/>
      <c r="AZ71" s="17"/>
      <c r="BA71" s="17"/>
      <c r="BB71" s="17"/>
      <c r="BC71" s="17"/>
      <c r="BD71" s="17"/>
      <c r="BE71" s="17"/>
      <c r="BG71" s="5"/>
      <c r="BH71" s="134">
        <f t="shared" si="44"/>
        <v>0</v>
      </c>
      <c r="BI71" s="134">
        <f t="shared" si="45"/>
        <v>0</v>
      </c>
      <c r="BJ71" s="134">
        <f t="shared" si="46"/>
        <v>0</v>
      </c>
      <c r="BK71" s="134">
        <f t="shared" si="47"/>
        <v>0</v>
      </c>
      <c r="BL71" s="134">
        <f t="shared" si="48"/>
        <v>0</v>
      </c>
      <c r="BM71" s="134">
        <f t="shared" si="49"/>
        <v>0</v>
      </c>
      <c r="BN71" s="134">
        <f t="shared" si="50"/>
        <v>0</v>
      </c>
      <c r="BO71" s="134">
        <f t="shared" si="51"/>
        <v>0</v>
      </c>
      <c r="BP71" s="134" t="str">
        <f t="shared" si="52"/>
        <v>0</v>
      </c>
      <c r="BQ71" s="134">
        <f t="shared" si="53"/>
        <v>0</v>
      </c>
      <c r="BR71" s="134">
        <f t="shared" si="54"/>
        <v>0</v>
      </c>
      <c r="BS71" s="5"/>
    </row>
    <row r="72" spans="1:71" ht="19" customHeight="1">
      <c r="A72" s="8" t="s">
        <v>424</v>
      </c>
      <c r="B72" s="8" t="s">
        <v>428</v>
      </c>
      <c r="C72" s="8" t="s">
        <v>470</v>
      </c>
      <c r="D72" s="8" t="s">
        <v>471</v>
      </c>
      <c r="E72" s="2">
        <v>5603.037525093504</v>
      </c>
      <c r="F72" s="9" t="s">
        <v>221</v>
      </c>
      <c r="G72" s="256">
        <v>112</v>
      </c>
      <c r="H72" s="256">
        <v>215</v>
      </c>
      <c r="I72" s="256">
        <v>231</v>
      </c>
      <c r="J72" s="48">
        <v>906</v>
      </c>
      <c r="K72" s="145">
        <v>46978</v>
      </c>
      <c r="L72" s="19">
        <v>46963</v>
      </c>
      <c r="M72" s="145">
        <v>46973</v>
      </c>
      <c r="N72" s="19">
        <v>46979</v>
      </c>
      <c r="O72" s="145">
        <v>46987</v>
      </c>
      <c r="P72" s="19">
        <v>46988</v>
      </c>
      <c r="Q72" s="145">
        <v>47013</v>
      </c>
      <c r="R72" s="145">
        <v>47073</v>
      </c>
      <c r="S72" s="21" t="s">
        <v>223</v>
      </c>
      <c r="T72" s="19">
        <v>47074</v>
      </c>
      <c r="U72" s="145">
        <v>47094</v>
      </c>
      <c r="V72" s="191"/>
      <c r="W72" s="145">
        <v>46978</v>
      </c>
      <c r="X72" s="19">
        <v>46963</v>
      </c>
      <c r="Y72" s="145">
        <v>46973</v>
      </c>
      <c r="Z72" s="19">
        <v>46979</v>
      </c>
      <c r="AA72" s="145">
        <v>46987</v>
      </c>
      <c r="AB72" s="19">
        <v>46988</v>
      </c>
      <c r="AC72" s="145">
        <v>47013</v>
      </c>
      <c r="AD72" s="145">
        <v>47073</v>
      </c>
      <c r="AE72" s="21" t="s">
        <v>223</v>
      </c>
      <c r="AF72" s="19">
        <v>47074</v>
      </c>
      <c r="AG72" s="145">
        <v>47094</v>
      </c>
      <c r="AY72" s="17"/>
      <c r="AZ72" s="17"/>
      <c r="BA72" s="17"/>
      <c r="BB72" s="17"/>
      <c r="BC72" s="17"/>
      <c r="BD72" s="17"/>
      <c r="BE72" s="17"/>
      <c r="BG72" s="5"/>
      <c r="BH72" s="134">
        <f t="shared" si="44"/>
        <v>0</v>
      </c>
      <c r="BI72" s="134">
        <f t="shared" si="45"/>
        <v>0</v>
      </c>
      <c r="BJ72" s="134">
        <f t="shared" si="46"/>
        <v>0</v>
      </c>
      <c r="BK72" s="134">
        <f t="shared" si="47"/>
        <v>0</v>
      </c>
      <c r="BL72" s="134">
        <f t="shared" si="48"/>
        <v>0</v>
      </c>
      <c r="BM72" s="134">
        <f t="shared" si="49"/>
        <v>0</v>
      </c>
      <c r="BN72" s="134">
        <f t="shared" si="50"/>
        <v>0</v>
      </c>
      <c r="BO72" s="134">
        <f t="shared" si="51"/>
        <v>0</v>
      </c>
      <c r="BP72" s="134" t="str">
        <f t="shared" si="52"/>
        <v>0</v>
      </c>
      <c r="BQ72" s="134">
        <f t="shared" si="53"/>
        <v>0</v>
      </c>
      <c r="BR72" s="134">
        <f t="shared" si="54"/>
        <v>0</v>
      </c>
      <c r="BS72" s="5"/>
    </row>
  </sheetData>
  <mergeCells count="4">
    <mergeCell ref="K1:U1"/>
    <mergeCell ref="G1:J1"/>
    <mergeCell ref="A1:D1"/>
    <mergeCell ref="W1:AG1"/>
  </mergeCells>
  <phoneticPr fontId="23" type="noConversion"/>
  <conditionalFormatting sqref="K3:K18">
    <cfRule type="cellIs" dxfId="962" priority="3068" operator="equal">
      <formula>#REF!</formula>
    </cfRule>
    <cfRule type="expression" dxfId="961" priority="3064">
      <formula>#REF!</formula>
    </cfRule>
    <cfRule type="expression" dxfId="960" priority="3057">
      <formula>#REF!</formula>
    </cfRule>
  </conditionalFormatting>
  <conditionalFormatting sqref="K9:K12 BI3:BR72 N29:Q53 S3:S72 T11:U53 BH29:BJ72">
    <cfRule type="expression" dxfId="959" priority="3063">
      <formula>#REF!</formula>
    </cfRule>
  </conditionalFormatting>
  <conditionalFormatting sqref="K10:K12 R11:R72">
    <cfRule type="cellIs" dxfId="958" priority="3062" operator="equal">
      <formula>#REF!</formula>
    </cfRule>
    <cfRule type="expression" dxfId="957" priority="3061">
      <formula>#REF!</formula>
    </cfRule>
  </conditionalFormatting>
  <conditionalFormatting sqref="K10:K13">
    <cfRule type="expression" dxfId="956" priority="3060">
      <formula>#REF!</formula>
    </cfRule>
    <cfRule type="cellIs" dxfId="955" priority="3059" operator="equal">
      <formula>#REF!</formula>
    </cfRule>
    <cfRule type="expression" dxfId="954" priority="3058">
      <formula>#REF!</formula>
    </cfRule>
  </conditionalFormatting>
  <conditionalFormatting sqref="K12:K13">
    <cfRule type="cellIs" dxfId="953" priority="3056" operator="equal">
      <formula>#REF!</formula>
    </cfRule>
    <cfRule type="expression" dxfId="952" priority="3055">
      <formula>#REF!</formula>
    </cfRule>
    <cfRule type="expression" dxfId="951" priority="3054">
      <formula>#REF!</formula>
    </cfRule>
  </conditionalFormatting>
  <conditionalFormatting sqref="K13:K18">
    <cfRule type="expression" dxfId="950" priority="3051">
      <formula>#REF!</formula>
    </cfRule>
    <cfRule type="expression" dxfId="949" priority="3052">
      <formula>#REF!</formula>
    </cfRule>
    <cfRule type="cellIs" dxfId="948" priority="3053" operator="equal">
      <formula>#REF!</formula>
    </cfRule>
  </conditionalFormatting>
  <conditionalFormatting sqref="K17:K18">
    <cfRule type="cellIs" dxfId="947" priority="3071" operator="equal">
      <formula>#REF!</formula>
    </cfRule>
    <cfRule type="expression" dxfId="946" priority="3070">
      <formula>#REF!</formula>
    </cfRule>
    <cfRule type="expression" dxfId="945" priority="3069">
      <formula>#REF!</formula>
    </cfRule>
  </conditionalFormatting>
  <conditionalFormatting sqref="K21">
    <cfRule type="containsText" dxfId="944" priority="327" operator="containsText" text="False">
      <formula>NOT(ISERROR(SEARCH("False",K21)))</formula>
    </cfRule>
  </conditionalFormatting>
  <conditionalFormatting sqref="K24 K29:M72">
    <cfRule type="expression" dxfId="943" priority="3050">
      <formula>#REF!</formula>
    </cfRule>
  </conditionalFormatting>
  <conditionalFormatting sqref="K24 BK27:BN72 K29:K72">
    <cfRule type="expression" dxfId="942" priority="3046">
      <formula>#REF!</formula>
    </cfRule>
    <cfRule type="cellIs" dxfId="941" priority="3045" operator="equal">
      <formula>#REF!</formula>
    </cfRule>
  </conditionalFormatting>
  <conditionalFormatting sqref="K24 BK27:BN72">
    <cfRule type="expression" dxfId="940" priority="3044">
      <formula>#REF!</formula>
    </cfRule>
  </conditionalFormatting>
  <conditionalFormatting sqref="K3:M12">
    <cfRule type="expression" dxfId="939" priority="3066">
      <formula>#REF!</formula>
    </cfRule>
    <cfRule type="expression" dxfId="938" priority="3067">
      <formula>#REF!</formula>
    </cfRule>
  </conditionalFormatting>
  <conditionalFormatting sqref="K73:U1048576">
    <cfRule type="expression" dxfId="937" priority="58198">
      <formula>#REF!</formula>
    </cfRule>
    <cfRule type="containsText" dxfId="936" priority="58356" operator="containsText" text="1-Jan-2025">
      <formula>NOT(ISERROR(SEARCH("1-Jan-2025",K73)))</formula>
    </cfRule>
  </conditionalFormatting>
  <conditionalFormatting sqref="K1:AG2">
    <cfRule type="expression" dxfId="935" priority="1368">
      <formula>#REF!</formula>
    </cfRule>
    <cfRule type="expression" dxfId="934" priority="1367">
      <formula>#REF!</formula>
    </cfRule>
    <cfRule type="cellIs" dxfId="933" priority="1366" operator="equal">
      <formula>#REF!</formula>
    </cfRule>
    <cfRule type="containsText" dxfId="932" priority="1365" operator="containsText" text="1-Jan-2025">
      <formula>NOT(ISERROR(SEARCH("1-Jan-2025",K1)))</formula>
    </cfRule>
  </conditionalFormatting>
  <conditionalFormatting sqref="L3:M12">
    <cfRule type="cellIs" dxfId="931" priority="23279" operator="equal">
      <formula>#REF!</formula>
    </cfRule>
  </conditionalFormatting>
  <conditionalFormatting sqref="L14:M25">
    <cfRule type="cellIs" dxfId="930" priority="44776" operator="equal">
      <formula>#REF!</formula>
    </cfRule>
    <cfRule type="expression" dxfId="929" priority="44777">
      <formula>#REF!</formula>
    </cfRule>
    <cfRule type="expression" dxfId="928" priority="44780">
      <formula>#REF!</formula>
    </cfRule>
  </conditionalFormatting>
  <conditionalFormatting sqref="L27:M28">
    <cfRule type="expression" dxfId="927" priority="44706">
      <formula>#REF!</formula>
    </cfRule>
  </conditionalFormatting>
  <conditionalFormatting sqref="L27:M72 BI3:BR72 Q3 S3:S72">
    <cfRule type="expression" dxfId="926" priority="44745">
      <formula>#REF!</formula>
    </cfRule>
  </conditionalFormatting>
  <conditionalFormatting sqref="L55:Q71 N72 P72">
    <cfRule type="cellIs" dxfId="925" priority="8517" operator="equal">
      <formula>#REF!</formula>
    </cfRule>
  </conditionalFormatting>
  <conditionalFormatting sqref="M54">
    <cfRule type="cellIs" dxfId="924" priority="6679" operator="equal">
      <formula>#REF!</formula>
    </cfRule>
  </conditionalFormatting>
  <conditionalFormatting sqref="M72 R29:R72">
    <cfRule type="expression" dxfId="923" priority="6791">
      <formula>#REF!</formula>
    </cfRule>
  </conditionalFormatting>
  <conditionalFormatting sqref="M54:N54">
    <cfRule type="expression" dxfId="922" priority="6680">
      <formula>#REF!</formula>
    </cfRule>
  </conditionalFormatting>
  <conditionalFormatting sqref="N9:N10">
    <cfRule type="expression" dxfId="921" priority="13490">
      <formula>#REF!</formula>
    </cfRule>
    <cfRule type="cellIs" dxfId="920" priority="13482" operator="equal">
      <formula>#REF!</formula>
    </cfRule>
    <cfRule type="containsText" dxfId="919" priority="13483" operator="containsText" text="1-Jan-2025">
      <formula>NOT(ISERROR(SEARCH("1-Jan-2025",N9)))</formula>
    </cfRule>
    <cfRule type="expression" dxfId="918" priority="13484">
      <formula>#REF!</formula>
    </cfRule>
    <cfRule type="expression" dxfId="917" priority="13481">
      <formula>#REF!</formula>
    </cfRule>
    <cfRule type="cellIs" dxfId="916" priority="13485" operator="equal">
      <formula>#REF!</formula>
    </cfRule>
    <cfRule type="containsText" dxfId="915" priority="13486" operator="containsText" text="1-Jan-2025">
      <formula>NOT(ISERROR(SEARCH("1-Jan-2025",N9)))</formula>
    </cfRule>
    <cfRule type="expression" dxfId="914" priority="13487">
      <formula>#REF!</formula>
    </cfRule>
    <cfRule type="expression" dxfId="913" priority="13488">
      <formula>#REF!</formula>
    </cfRule>
    <cfRule type="cellIs" dxfId="912" priority="13499" operator="equal">
      <formula>#REF!</formula>
    </cfRule>
    <cfRule type="expression" dxfId="911" priority="13489">
      <formula>#REF!</formula>
    </cfRule>
    <cfRule type="expression" dxfId="910" priority="13497">
      <formula>#REF!</formula>
    </cfRule>
    <cfRule type="expression" dxfId="909" priority="13496">
      <formula>#REF!</formula>
    </cfRule>
    <cfRule type="expression" dxfId="908" priority="13495">
      <formula>#REF!</formula>
    </cfRule>
    <cfRule type="cellIs" dxfId="907" priority="13494" operator="equal">
      <formula>#REF!</formula>
    </cfRule>
    <cfRule type="expression" dxfId="906" priority="13493">
      <formula>#REF!</formula>
    </cfRule>
    <cfRule type="expression" dxfId="905" priority="13492">
      <formula>#REF!</formula>
    </cfRule>
    <cfRule type="cellIs" dxfId="904" priority="13491" operator="equal">
      <formula>#REF!</formula>
    </cfRule>
  </conditionalFormatting>
  <conditionalFormatting sqref="N11:N16">
    <cfRule type="expression" dxfId="903" priority="10850">
      <formula>#REF!</formula>
    </cfRule>
    <cfRule type="cellIs" dxfId="902" priority="10851" operator="equal">
      <formula>#REF!</formula>
    </cfRule>
    <cfRule type="expression" dxfId="901" priority="10852">
      <formula>#REF!</formula>
    </cfRule>
    <cfRule type="expression" dxfId="900" priority="10853">
      <formula>#REF!</formula>
    </cfRule>
    <cfRule type="expression" dxfId="899" priority="10849">
      <formula>#REF!</formula>
    </cfRule>
    <cfRule type="expression" dxfId="898" priority="10848">
      <formula>#REF!</formula>
    </cfRule>
    <cfRule type="expression" dxfId="897" priority="10847">
      <formula>#REF!</formula>
    </cfRule>
  </conditionalFormatting>
  <conditionalFormatting sqref="N20">
    <cfRule type="expression" dxfId="896" priority="3400">
      <formula>#REF!</formula>
    </cfRule>
    <cfRule type="containsText" dxfId="895" priority="3399" operator="containsText" text="1-Jan-2025">
      <formula>NOT(ISERROR(SEARCH("1-Jan-2025",N20)))</formula>
    </cfRule>
    <cfRule type="cellIs" dxfId="894" priority="3398" operator="equal">
      <formula>#REF!</formula>
    </cfRule>
  </conditionalFormatting>
  <conditionalFormatting sqref="N54">
    <cfRule type="cellIs" dxfId="893" priority="6682" operator="equal">
      <formula>#REF!</formula>
    </cfRule>
    <cfRule type="expression" dxfId="892" priority="6683">
      <formula>#REF!</formula>
    </cfRule>
  </conditionalFormatting>
  <conditionalFormatting sqref="N3:O3">
    <cfRule type="expression" dxfId="891" priority="17512">
      <formula>#REF!</formula>
    </cfRule>
  </conditionalFormatting>
  <conditionalFormatting sqref="N4:O4">
    <cfRule type="cellIs" dxfId="890" priority="17521" operator="equal">
      <formula>#REF!</formula>
    </cfRule>
    <cfRule type="expression" dxfId="889" priority="17520">
      <formula>#REF!</formula>
    </cfRule>
    <cfRule type="expression" dxfId="888" priority="17522">
      <formula>#REF!</formula>
    </cfRule>
    <cfRule type="expression" dxfId="887" priority="17523">
      <formula>#REF!</formula>
    </cfRule>
    <cfRule type="cellIs" dxfId="886" priority="17524" operator="equal">
      <formula>#REF!</formula>
    </cfRule>
    <cfRule type="expression" dxfId="885" priority="17525">
      <formula>#REF!</formula>
    </cfRule>
    <cfRule type="expression" dxfId="884" priority="17519">
      <formula>#REF!</formula>
    </cfRule>
    <cfRule type="cellIs" dxfId="883" priority="17515" operator="equal">
      <formula>#REF!</formula>
    </cfRule>
    <cfRule type="expression" dxfId="882" priority="17518">
      <formula>#REF!</formula>
    </cfRule>
    <cfRule type="expression" dxfId="881" priority="17517">
      <formula>#REF!</formula>
    </cfRule>
    <cfRule type="containsText" dxfId="880" priority="17513" operator="containsText" text="1-Jan-2025">
      <formula>NOT(ISERROR(SEARCH("1-Jan-2025",N4)))</formula>
    </cfRule>
    <cfRule type="expression" dxfId="879" priority="17514">
      <formula>#REF!</formula>
    </cfRule>
    <cfRule type="containsText" dxfId="878" priority="17516" operator="containsText" text="1-Jan-2025">
      <formula>NOT(ISERROR(SEARCH("1-Jan-2025",N4)))</formula>
    </cfRule>
  </conditionalFormatting>
  <conditionalFormatting sqref="N4:O5">
    <cfRule type="expression" dxfId="877" priority="16146">
      <formula>#REF!</formula>
    </cfRule>
  </conditionalFormatting>
  <conditionalFormatting sqref="N5:O5">
    <cfRule type="cellIs" dxfId="876" priority="16133" operator="equal">
      <formula>#REF!</formula>
    </cfRule>
    <cfRule type="cellIs" dxfId="875" priority="16145" operator="equal">
      <formula>#REF!</formula>
    </cfRule>
    <cfRule type="expression" dxfId="874" priority="16132">
      <formula>#REF!</formula>
    </cfRule>
    <cfRule type="containsText" dxfId="873" priority="16137" operator="containsText" text="1-Jan-2025">
      <formula>NOT(ISERROR(SEARCH("1-Jan-2025",N5)))</formula>
    </cfRule>
    <cfRule type="expression" dxfId="872" priority="16138">
      <formula>#REF!</formula>
    </cfRule>
    <cfRule type="expression" dxfId="871" priority="16139">
      <formula>#REF!</formula>
    </cfRule>
    <cfRule type="expression" dxfId="870" priority="16140">
      <formula>#REF!</formula>
    </cfRule>
    <cfRule type="expression" dxfId="869" priority="16141">
      <formula>#REF!</formula>
    </cfRule>
    <cfRule type="cellIs" dxfId="868" priority="16136" operator="equal">
      <formula>#REF!</formula>
    </cfRule>
    <cfRule type="containsText" dxfId="867" priority="16134" operator="containsText" text="1-Jan-2025">
      <formula>NOT(ISERROR(SEARCH("1-Jan-2025",N5)))</formula>
    </cfRule>
    <cfRule type="expression" dxfId="866" priority="16144">
      <formula>#REF!</formula>
    </cfRule>
    <cfRule type="cellIs" dxfId="865" priority="16142" operator="equal">
      <formula>#REF!</formula>
    </cfRule>
    <cfRule type="expression" dxfId="864" priority="16143">
      <formula>#REF!</formula>
    </cfRule>
    <cfRule type="expression" dxfId="863" priority="16135">
      <formula>#REF!</formula>
    </cfRule>
  </conditionalFormatting>
  <conditionalFormatting sqref="N6:O6">
    <cfRule type="cellIs" dxfId="862" priority="14742" operator="equal">
      <formula>#REF!</formula>
    </cfRule>
    <cfRule type="expression" dxfId="861" priority="14753">
      <formula>#REF!</formula>
    </cfRule>
    <cfRule type="expression" dxfId="860" priority="14741">
      <formula>#REF!</formula>
    </cfRule>
    <cfRule type="cellIs" dxfId="859" priority="14754" operator="equal">
      <formula>#REF!</formula>
    </cfRule>
    <cfRule type="expression" dxfId="858" priority="14755">
      <formula>#REF!</formula>
    </cfRule>
    <cfRule type="expression" dxfId="857" priority="14752">
      <formula>#REF!</formula>
    </cfRule>
    <cfRule type="cellIs" dxfId="856" priority="14751" operator="equal">
      <formula>#REF!</formula>
    </cfRule>
    <cfRule type="expression" dxfId="855" priority="14750">
      <formula>#REF!</formula>
    </cfRule>
    <cfRule type="expression" dxfId="854" priority="14749">
      <formula>#REF!</formula>
    </cfRule>
    <cfRule type="expression" dxfId="853" priority="14748">
      <formula>#REF!</formula>
    </cfRule>
    <cfRule type="expression" dxfId="852" priority="14747">
      <formula>#REF!</formula>
    </cfRule>
    <cfRule type="containsText" dxfId="851" priority="14746" operator="containsText" text="1-Jan-2025">
      <formula>NOT(ISERROR(SEARCH("1-Jan-2025",N6)))</formula>
    </cfRule>
    <cfRule type="cellIs" dxfId="850" priority="14745" operator="equal">
      <formula>#REF!</formula>
    </cfRule>
    <cfRule type="expression" dxfId="849" priority="14744">
      <formula>#REF!</formula>
    </cfRule>
    <cfRule type="containsText" dxfId="848" priority="14743" operator="containsText" text="1-Jan-2025">
      <formula>NOT(ISERROR(SEARCH("1-Jan-2025",N6)))</formula>
    </cfRule>
  </conditionalFormatting>
  <conditionalFormatting sqref="N6:O8">
    <cfRule type="expression" dxfId="847" priority="14738">
      <formula>#REF!</formula>
    </cfRule>
  </conditionalFormatting>
  <conditionalFormatting sqref="N7:O8">
    <cfRule type="containsText" dxfId="846" priority="13538" operator="containsText" text="1-Jan-2025">
      <formula>NOT(ISERROR(SEARCH("1-Jan-2025",N7)))</formula>
    </cfRule>
    <cfRule type="cellIs" dxfId="845" priority="13546" operator="equal">
      <formula>#REF!</formula>
    </cfRule>
    <cfRule type="cellIs" dxfId="844" priority="13540" operator="equal">
      <formula>#REF!</formula>
    </cfRule>
    <cfRule type="containsText" dxfId="843" priority="13541" operator="containsText" text="1-Jan-2025">
      <formula>NOT(ISERROR(SEARCH("1-Jan-2025",N7)))</formula>
    </cfRule>
    <cfRule type="cellIs" dxfId="842" priority="14739" operator="equal">
      <formula>#REF!</formula>
    </cfRule>
    <cfRule type="expression" dxfId="841" priority="13542">
      <formula>#REF!</formula>
    </cfRule>
    <cfRule type="expression" dxfId="840" priority="14737">
      <formula>#REF!</formula>
    </cfRule>
    <cfRule type="expression" dxfId="839" priority="14736">
      <formula>#REF!</formula>
    </cfRule>
    <cfRule type="expression" dxfId="838" priority="13543">
      <formula>#REF!</formula>
    </cfRule>
    <cfRule type="expression" dxfId="837" priority="13550">
      <formula>#REF!</formula>
    </cfRule>
    <cfRule type="cellIs" dxfId="836" priority="13549" operator="equal">
      <formula>#REF!</formula>
    </cfRule>
    <cfRule type="expression" dxfId="835" priority="13544">
      <formula>#REF!</formula>
    </cfRule>
    <cfRule type="expression" dxfId="834" priority="13545">
      <formula>#REF!</formula>
    </cfRule>
    <cfRule type="expression" dxfId="833" priority="13548">
      <formula>#REF!</formula>
    </cfRule>
    <cfRule type="expression" dxfId="832" priority="13547">
      <formula>#REF!</formula>
    </cfRule>
    <cfRule type="expression" dxfId="831" priority="13539">
      <formula>#REF!</formula>
    </cfRule>
  </conditionalFormatting>
  <conditionalFormatting sqref="N9:O9">
    <cfRule type="expression" dxfId="830" priority="13498">
      <formula>#REF!</formula>
    </cfRule>
  </conditionalFormatting>
  <conditionalFormatting sqref="N10:O11">
    <cfRule type="expression" dxfId="829" priority="10854">
      <formula>#REF!</formula>
    </cfRule>
  </conditionalFormatting>
  <conditionalFormatting sqref="N18:O19 N29:Q53">
    <cfRule type="cellIs" dxfId="828" priority="2356" operator="equal">
      <formula>#REF!</formula>
    </cfRule>
    <cfRule type="expression" dxfId="827" priority="2357">
      <formula>#REF!</formula>
    </cfRule>
  </conditionalFormatting>
  <conditionalFormatting sqref="N18:O19">
    <cfRule type="expression" dxfId="826" priority="2358">
      <formula>#REF!</formula>
    </cfRule>
  </conditionalFormatting>
  <conditionalFormatting sqref="N20:O20">
    <cfRule type="expression" dxfId="825" priority="3397">
      <formula>#REF!</formula>
    </cfRule>
  </conditionalFormatting>
  <conditionalFormatting sqref="N22:O22">
    <cfRule type="containsText" dxfId="824" priority="1003" operator="containsText" text="1-Jan-2025">
      <formula>NOT(ISERROR(SEARCH("1-Jan-2025",N22)))</formula>
    </cfRule>
  </conditionalFormatting>
  <conditionalFormatting sqref="N22:O23">
    <cfRule type="expression" dxfId="823" priority="1005">
      <formula>#REF!</formula>
    </cfRule>
    <cfRule type="expression" dxfId="822" priority="1004">
      <formula>#REF!</formula>
    </cfRule>
    <cfRule type="cellIs" dxfId="821" priority="1002" operator="equal">
      <formula>#REF!</formula>
    </cfRule>
  </conditionalFormatting>
  <conditionalFormatting sqref="N25:O26">
    <cfRule type="expression" dxfId="820" priority="1000">
      <formula>#REF!</formula>
    </cfRule>
    <cfRule type="expression" dxfId="819" priority="999">
      <formula>#REF!</formula>
    </cfRule>
    <cfRule type="cellIs" dxfId="818" priority="998" operator="equal">
      <formula>#REF!</formula>
    </cfRule>
  </conditionalFormatting>
  <conditionalFormatting sqref="N27:O28">
    <cfRule type="containsText" dxfId="817" priority="1" operator="containsText" text="False">
      <formula>NOT(ISERROR(SEARCH("False",N27)))</formula>
    </cfRule>
  </conditionalFormatting>
  <conditionalFormatting sqref="N15:P16">
    <cfRule type="expression" dxfId="816" priority="5724">
      <formula>#REF!</formula>
    </cfRule>
  </conditionalFormatting>
  <conditionalFormatting sqref="N22:P22">
    <cfRule type="expression" dxfId="815" priority="1001">
      <formula>#REF!</formula>
    </cfRule>
  </conditionalFormatting>
  <conditionalFormatting sqref="N3:Q4">
    <cfRule type="cellIs" dxfId="814" priority="17477" operator="equal">
      <formula>#REF!</formula>
    </cfRule>
  </conditionalFormatting>
  <conditionalFormatting sqref="N3:Q5">
    <cfRule type="expression" dxfId="813" priority="16123">
      <formula>#REF!</formula>
    </cfRule>
  </conditionalFormatting>
  <conditionalFormatting sqref="N7:Q8">
    <cfRule type="expression" dxfId="812" priority="10868">
      <formula>#REF!</formula>
    </cfRule>
    <cfRule type="cellIs" dxfId="811" priority="10870" operator="equal">
      <formula>#REF!</formula>
    </cfRule>
  </conditionalFormatting>
  <conditionalFormatting sqref="N12:Q14">
    <cfRule type="expression" dxfId="810" priority="7396">
      <formula>#REF!</formula>
    </cfRule>
  </conditionalFormatting>
  <conditionalFormatting sqref="N17:Q17">
    <cfRule type="expression" dxfId="809" priority="10838">
      <formula>#REF!</formula>
    </cfRule>
    <cfRule type="cellIs" dxfId="808" priority="10836" operator="equal">
      <formula>#REF!</formula>
    </cfRule>
    <cfRule type="expression" dxfId="807" priority="10837">
      <formula>#REF!</formula>
    </cfRule>
  </conditionalFormatting>
  <conditionalFormatting sqref="N55:Q71 N72 P72">
    <cfRule type="expression" dxfId="806" priority="8516">
      <formula>#REF!</formula>
    </cfRule>
    <cfRule type="expression" dxfId="805" priority="8518">
      <formula>#REF!</formula>
    </cfRule>
  </conditionalFormatting>
  <conditionalFormatting sqref="N55:Q72">
    <cfRule type="expression" dxfId="804" priority="8496">
      <formula>#REF!</formula>
    </cfRule>
    <cfRule type="cellIs" dxfId="803" priority="8497" operator="equal">
      <formula>#REF!</formula>
    </cfRule>
    <cfRule type="expression" dxfId="802" priority="8498">
      <formula>#REF!</formula>
    </cfRule>
  </conditionalFormatting>
  <conditionalFormatting sqref="O9:O16">
    <cfRule type="expression" dxfId="801" priority="13505">
      <formula>#REF!</formula>
    </cfRule>
    <cfRule type="expression" dxfId="800" priority="13504">
      <formula>#REF!</formula>
    </cfRule>
    <cfRule type="expression" dxfId="799" priority="13509">
      <formula>#REF!</formula>
    </cfRule>
    <cfRule type="expression" dxfId="798" priority="13508">
      <formula>#REF!</formula>
    </cfRule>
    <cfRule type="expression" dxfId="797" priority="13502">
      <formula>#REF!</formula>
    </cfRule>
    <cfRule type="cellIs" dxfId="796" priority="13506" operator="equal">
      <formula>#REF!</formula>
    </cfRule>
    <cfRule type="expression" dxfId="795" priority="13503">
      <formula>#REF!</formula>
    </cfRule>
  </conditionalFormatting>
  <conditionalFormatting sqref="O20">
    <cfRule type="expression" dxfId="794" priority="3393">
      <formula>#REF!</formula>
    </cfRule>
    <cfRule type="cellIs" dxfId="793" priority="3394" operator="equal">
      <formula>#REF!</formula>
    </cfRule>
    <cfRule type="containsText" dxfId="792" priority="3395" operator="containsText" text="1-Jan-2025">
      <formula>NOT(ISERROR(SEARCH("1-Jan-2025",O20)))</formula>
    </cfRule>
    <cfRule type="expression" dxfId="791" priority="3396">
      <formula>#REF!</formula>
    </cfRule>
  </conditionalFormatting>
  <conditionalFormatting sqref="O24">
    <cfRule type="expression" dxfId="790" priority="1685">
      <formula>#REF!</formula>
    </cfRule>
  </conditionalFormatting>
  <conditionalFormatting sqref="O54">
    <cfRule type="cellIs" dxfId="789" priority="6674" operator="equal">
      <formula>#REF!</formula>
    </cfRule>
  </conditionalFormatting>
  <conditionalFormatting sqref="O72">
    <cfRule type="expression" dxfId="788" priority="6790">
      <formula>#REF!</formula>
    </cfRule>
    <cfRule type="cellIs" dxfId="787" priority="6789" operator="equal">
      <formula>#REF!</formula>
    </cfRule>
    <cfRule type="expression" dxfId="786" priority="6788">
      <formula>#REF!</formula>
    </cfRule>
    <cfRule type="expression" dxfId="785" priority="6787">
      <formula>#REF!</formula>
    </cfRule>
  </conditionalFormatting>
  <conditionalFormatting sqref="O54:P54">
    <cfRule type="expression" dxfId="784" priority="6678">
      <formula>#REF!</formula>
    </cfRule>
    <cfRule type="cellIs" dxfId="783" priority="6677" operator="equal">
      <formula>#REF!</formula>
    </cfRule>
    <cfRule type="expression" dxfId="782" priority="6675">
      <formula>#REF!</formula>
    </cfRule>
  </conditionalFormatting>
  <conditionalFormatting sqref="O24:Q24">
    <cfRule type="expression" dxfId="781" priority="5012">
      <formula>#REF!</formula>
    </cfRule>
    <cfRule type="cellIs" dxfId="780" priority="5011" operator="equal">
      <formula>#REF!</formula>
    </cfRule>
  </conditionalFormatting>
  <conditionalFormatting sqref="P15:P16">
    <cfRule type="expression" dxfId="779" priority="5718">
      <formula>#REF!</formula>
    </cfRule>
    <cfRule type="expression" dxfId="778" priority="5720">
      <formula>#REF!</formula>
    </cfRule>
    <cfRule type="expression" dxfId="777" priority="5721">
      <formula>#REF!</formula>
    </cfRule>
    <cfRule type="cellIs" dxfId="776" priority="5722" operator="equal">
      <formula>#REF!</formula>
    </cfRule>
    <cfRule type="expression" dxfId="775" priority="5723">
      <formula>#REF!</formula>
    </cfRule>
    <cfRule type="expression" dxfId="774" priority="5719">
      <formula>#REF!</formula>
    </cfRule>
  </conditionalFormatting>
  <conditionalFormatting sqref="P24:P25">
    <cfRule type="expression" dxfId="773" priority="5018">
      <formula>#REF!</formula>
    </cfRule>
  </conditionalFormatting>
  <conditionalFormatting sqref="P3:Q3">
    <cfRule type="expression" dxfId="772" priority="12143">
      <formula>#REF!</formula>
    </cfRule>
  </conditionalFormatting>
  <conditionalFormatting sqref="P3:Q5">
    <cfRule type="expression" dxfId="771" priority="12230">
      <formula>#REF!</formula>
    </cfRule>
  </conditionalFormatting>
  <conditionalFormatting sqref="P4:Q4">
    <cfRule type="expression" dxfId="770" priority="17476">
      <formula>#REF!</formula>
    </cfRule>
  </conditionalFormatting>
  <conditionalFormatting sqref="P5:Q5">
    <cfRule type="cellIs" dxfId="769" priority="16124" operator="equal">
      <formula>#REF!</formula>
    </cfRule>
  </conditionalFormatting>
  <conditionalFormatting sqref="P5:Q6">
    <cfRule type="cellIs" dxfId="768" priority="11527" operator="equal">
      <formula>#REF!</formula>
    </cfRule>
    <cfRule type="expression" dxfId="767" priority="11526">
      <formula>#REF!</formula>
    </cfRule>
    <cfRule type="expression" dxfId="766" priority="11525">
      <formula>#REF!</formula>
    </cfRule>
  </conditionalFormatting>
  <conditionalFormatting sqref="P6:Q7">
    <cfRule type="expression" dxfId="765" priority="10913">
      <formula>#REF!</formula>
    </cfRule>
    <cfRule type="expression" dxfId="764" priority="10912">
      <formula>#REF!</formula>
    </cfRule>
    <cfRule type="cellIs" dxfId="763" priority="10914" operator="equal">
      <formula>#REF!</formula>
    </cfRule>
  </conditionalFormatting>
  <conditionalFormatting sqref="P7:Q8">
    <cfRule type="expression" dxfId="762" priority="10869">
      <formula>#REF!</formula>
    </cfRule>
  </conditionalFormatting>
  <conditionalFormatting sqref="P8:Q11">
    <cfRule type="expression" dxfId="761" priority="5728">
      <formula>#REF!</formula>
    </cfRule>
    <cfRule type="expression" dxfId="760" priority="5729">
      <formula>#REF!</formula>
    </cfRule>
    <cfRule type="cellIs" dxfId="759" priority="5730" operator="equal">
      <formula>#REF!</formula>
    </cfRule>
  </conditionalFormatting>
  <conditionalFormatting sqref="P10:Q10">
    <cfRule type="expression" dxfId="758" priority="9261">
      <formula>#REF!</formula>
    </cfRule>
    <cfRule type="cellIs" dxfId="757" priority="9263" operator="equal">
      <formula>#REF!</formula>
    </cfRule>
    <cfRule type="expression" dxfId="756" priority="9262">
      <formula>#REF!</formula>
    </cfRule>
  </conditionalFormatting>
  <conditionalFormatting sqref="P11:Q11">
    <cfRule type="expression" dxfId="755" priority="5725">
      <formula>#REF!</formula>
    </cfRule>
    <cfRule type="expression" dxfId="754" priority="5726">
      <formula>#REF!</formula>
    </cfRule>
    <cfRule type="cellIs" dxfId="753" priority="5727" operator="equal">
      <formula>#REF!</formula>
    </cfRule>
  </conditionalFormatting>
  <conditionalFormatting sqref="P12:Q12">
    <cfRule type="expression" dxfId="752" priority="7416">
      <formula>#REF!</formula>
    </cfRule>
    <cfRule type="cellIs" dxfId="751" priority="7417" operator="equal">
      <formula>#REF!</formula>
    </cfRule>
    <cfRule type="expression" dxfId="750" priority="7419">
      <formula>#REF!</formula>
    </cfRule>
    <cfRule type="expression" dxfId="749" priority="7413">
      <formula>#REF!</formula>
    </cfRule>
    <cfRule type="expression" dxfId="748" priority="7414">
      <formula>#REF!</formula>
    </cfRule>
    <cfRule type="expression" dxfId="747" priority="7415">
      <formula>#REF!</formula>
    </cfRule>
    <cfRule type="expression" dxfId="746" priority="7418">
      <formula>#REF!</formula>
    </cfRule>
  </conditionalFormatting>
  <conditionalFormatting sqref="P13:Q13">
    <cfRule type="expression" dxfId="745" priority="7395">
      <formula>#REF!</formula>
    </cfRule>
    <cfRule type="cellIs" dxfId="744" priority="7394" operator="equal">
      <formula>#REF!</formula>
    </cfRule>
    <cfRule type="expression" dxfId="743" priority="7393">
      <formula>#REF!</formula>
    </cfRule>
    <cfRule type="expression" dxfId="742" priority="7392">
      <formula>#REF!</formula>
    </cfRule>
    <cfRule type="expression" dxfId="741" priority="7391">
      <formula>#REF!</formula>
    </cfRule>
    <cfRule type="expression" dxfId="740" priority="7390">
      <formula>#REF!</formula>
    </cfRule>
    <cfRule type="expression" dxfId="739" priority="7389">
      <formula>#REF!</formula>
    </cfRule>
  </conditionalFormatting>
  <conditionalFormatting sqref="P14:Q14">
    <cfRule type="cellIs" dxfId="738" priority="7983" operator="equal">
      <formula>#REF!</formula>
    </cfRule>
    <cfRule type="expression" dxfId="737" priority="7984">
      <formula>#REF!</formula>
    </cfRule>
    <cfRule type="expression" dxfId="736" priority="7985">
      <formula>#REF!</formula>
    </cfRule>
    <cfRule type="expression" dxfId="735" priority="7982">
      <formula>#REF!</formula>
    </cfRule>
    <cfRule type="expression" dxfId="734" priority="7981">
      <formula>#REF!</formula>
    </cfRule>
    <cfRule type="expression" dxfId="733" priority="7980">
      <formula>#REF!</formula>
    </cfRule>
    <cfRule type="expression" dxfId="732" priority="7979">
      <formula>#REF!</formula>
    </cfRule>
  </conditionalFormatting>
  <conditionalFormatting sqref="P15:Q15">
    <cfRule type="expression" dxfId="731" priority="5715">
      <formula>#REF!</formula>
    </cfRule>
  </conditionalFormatting>
  <conditionalFormatting sqref="P16:Q16">
    <cfRule type="expression" dxfId="730" priority="5344">
      <formula>#REF!</formula>
    </cfRule>
  </conditionalFormatting>
  <conditionalFormatting sqref="P21:Q21 P22">
    <cfRule type="expression" dxfId="729" priority="6123">
      <formula>#REF!</formula>
    </cfRule>
    <cfRule type="cellIs" dxfId="728" priority="6122" operator="equal">
      <formula>#REF!</formula>
    </cfRule>
  </conditionalFormatting>
  <conditionalFormatting sqref="P23:Q23">
    <cfRule type="containsText" dxfId="727" priority="328" operator="containsText" text="False">
      <formula>NOT(ISERROR(SEARCH("False",P23)))</formula>
    </cfRule>
  </conditionalFormatting>
  <conditionalFormatting sqref="P25:Q25 P27:Q28">
    <cfRule type="expression" dxfId="726" priority="2018">
      <formula>#REF!</formula>
    </cfRule>
    <cfRule type="cellIs" dxfId="725" priority="2017" operator="equal">
      <formula>#REF!</formula>
    </cfRule>
  </conditionalFormatting>
  <conditionalFormatting sqref="P26:Q26">
    <cfRule type="containsText" dxfId="724" priority="3" operator="containsText" text="False">
      <formula>NOT(ISERROR(SEARCH("False",P26)))</formula>
    </cfRule>
  </conditionalFormatting>
  <conditionalFormatting sqref="P27:Q28 P21:Q21">
    <cfRule type="expression" dxfId="723" priority="6121">
      <formula>#REF!</formula>
    </cfRule>
  </conditionalFormatting>
  <conditionalFormatting sqref="P9:R9">
    <cfRule type="cellIs" dxfId="722" priority="1024" operator="equal">
      <formula>#REF!</formula>
    </cfRule>
    <cfRule type="expression" dxfId="721" priority="1022">
      <formula>#REF!</formula>
    </cfRule>
    <cfRule type="expression" dxfId="720" priority="1023">
      <formula>#REF!</formula>
    </cfRule>
  </conditionalFormatting>
  <conditionalFormatting sqref="Q3">
    <cfRule type="expression" dxfId="719" priority="14731">
      <formula>#REF!</formula>
    </cfRule>
    <cfRule type="expression" dxfId="718" priority="14729">
      <formula>#REF!</formula>
    </cfRule>
    <cfRule type="expression" dxfId="717" priority="14728">
      <formula>#REF!</formula>
    </cfRule>
  </conditionalFormatting>
  <conditionalFormatting sqref="Q15:Q16">
    <cfRule type="cellIs" dxfId="716" priority="5713" operator="equal">
      <formula>#REF!</formula>
    </cfRule>
    <cfRule type="expression" dxfId="715" priority="5711">
      <formula>#REF!</formula>
    </cfRule>
    <cfRule type="cellIs" dxfId="714" priority="5716" operator="equal">
      <formula>#REF!</formula>
    </cfRule>
    <cfRule type="expression" dxfId="713" priority="5712">
      <formula>#REF!</formula>
    </cfRule>
    <cfRule type="expression" dxfId="712" priority="5714">
      <formula>#REF!</formula>
    </cfRule>
  </conditionalFormatting>
  <conditionalFormatting sqref="Q24:Q25">
    <cfRule type="expression" dxfId="711" priority="2019">
      <formula>#REF!</formula>
    </cfRule>
  </conditionalFormatting>
  <conditionalFormatting sqref="Q54">
    <cfRule type="expression" dxfId="710" priority="6673">
      <formula>#REF!</formula>
    </cfRule>
    <cfRule type="cellIs" dxfId="709" priority="6672" operator="equal">
      <formula>#REF!</formula>
    </cfRule>
    <cfRule type="expression" dxfId="708" priority="6670">
      <formula>#REF!</formula>
    </cfRule>
    <cfRule type="cellIs" dxfId="707" priority="6669" operator="equal">
      <formula>#REF!</formula>
    </cfRule>
  </conditionalFormatting>
  <conditionalFormatting sqref="Q72">
    <cfRule type="expression" dxfId="706" priority="6786">
      <formula>#REF!</formula>
    </cfRule>
    <cfRule type="cellIs" dxfId="705" priority="6785" operator="equal">
      <formula>#REF!</formula>
    </cfRule>
    <cfRule type="expression" dxfId="704" priority="6784">
      <formula>#REF!</formula>
    </cfRule>
    <cfRule type="expression" dxfId="703" priority="6783">
      <formula>#REF!</formula>
    </cfRule>
  </conditionalFormatting>
  <conditionalFormatting sqref="R7">
    <cfRule type="expression" dxfId="702" priority="1020">
      <formula>#REF!</formula>
    </cfRule>
    <cfRule type="cellIs" dxfId="701" priority="1021" operator="equal">
      <formula>#REF!</formula>
    </cfRule>
    <cfRule type="expression" dxfId="700" priority="1019">
      <formula>#REF!</formula>
    </cfRule>
  </conditionalFormatting>
  <conditionalFormatting sqref="R7:R9">
    <cfRule type="expression" dxfId="699" priority="1012">
      <formula>#REF!</formula>
    </cfRule>
    <cfRule type="cellIs" dxfId="698" priority="1010" operator="equal">
      <formula>#REF!</formula>
    </cfRule>
    <cfRule type="expression" dxfId="697" priority="1009">
      <formula>#REF!</formula>
    </cfRule>
  </conditionalFormatting>
  <conditionalFormatting sqref="R8:R10">
    <cfRule type="expression" dxfId="696" priority="326">
      <formula>#REF!</formula>
    </cfRule>
    <cfRule type="cellIs" dxfId="695" priority="324" operator="equal">
      <formula>#REF!</formula>
    </cfRule>
  </conditionalFormatting>
  <conditionalFormatting sqref="R8:R28">
    <cfRule type="expression" dxfId="694" priority="323">
      <formula>#REF!</formula>
    </cfRule>
  </conditionalFormatting>
  <conditionalFormatting sqref="R10">
    <cfRule type="containsText" dxfId="693" priority="325" operator="containsText" text="1-Jan-2025">
      <formula>NOT(ISERROR(SEARCH("1-Jan-2025",R10)))</formula>
    </cfRule>
  </conditionalFormatting>
  <conditionalFormatting sqref="R29:R72 M72">
    <cfRule type="expression" dxfId="692" priority="6792">
      <formula>#REF!</formula>
    </cfRule>
    <cfRule type="cellIs" dxfId="691" priority="6793" operator="equal">
      <formula>#REF!</formula>
    </cfRule>
    <cfRule type="expression" dxfId="690" priority="6794">
      <formula>#REF!</formula>
    </cfRule>
  </conditionalFormatting>
  <conditionalFormatting sqref="R54:R72">
    <cfRule type="expression" dxfId="689" priority="3033">
      <formula>#REF!</formula>
    </cfRule>
  </conditionalFormatting>
  <conditionalFormatting sqref="R55:R72">
    <cfRule type="expression" dxfId="688" priority="3038">
      <formula>#REF!</formula>
    </cfRule>
    <cfRule type="expression" dxfId="687" priority="3040">
      <formula>#REF!</formula>
    </cfRule>
    <cfRule type="cellIs" dxfId="686" priority="3039" operator="equal">
      <formula>#REF!</formula>
    </cfRule>
  </conditionalFormatting>
  <conditionalFormatting sqref="T11:T28">
    <cfRule type="expression" dxfId="685" priority="31095">
      <formula>#REF!</formula>
    </cfRule>
    <cfRule type="containsText" dxfId="684" priority="14168" operator="containsText" text="1-Jan-2025">
      <formula>NOT(ISERROR(SEARCH("1-Jan-2025",T11)))</formula>
    </cfRule>
  </conditionalFormatting>
  <conditionalFormatting sqref="T54 T55:U71 T72 T29:U53">
    <cfRule type="expression" dxfId="683" priority="8476">
      <formula>#REF!</formula>
    </cfRule>
  </conditionalFormatting>
  <conditionalFormatting sqref="T54 T55:U71 T72">
    <cfRule type="expression" dxfId="682" priority="8474">
      <formula>#REF!</formula>
    </cfRule>
    <cfRule type="cellIs" dxfId="681" priority="8475" operator="equal">
      <formula>#REF!</formula>
    </cfRule>
  </conditionalFormatting>
  <conditionalFormatting sqref="T3:U5 T6">
    <cfRule type="cellIs" dxfId="680" priority="652" operator="equal">
      <formula>#REF!</formula>
    </cfRule>
    <cfRule type="containsText" dxfId="679" priority="653" operator="containsText" text="1-Jan-2025">
      <formula>NOT(ISERROR(SEARCH("1-Jan-2025",T3)))</formula>
    </cfRule>
    <cfRule type="expression" dxfId="678" priority="654">
      <formula>#REF!</formula>
    </cfRule>
  </conditionalFormatting>
  <conditionalFormatting sqref="T3:U6">
    <cfRule type="expression" dxfId="677" priority="322">
      <formula>#REF!</formula>
    </cfRule>
  </conditionalFormatting>
  <conditionalFormatting sqref="T7:U10">
    <cfRule type="containsText" dxfId="676" priority="317" operator="containsText" text="False">
      <formula>NOT(ISERROR(SEARCH("False",T7)))</formula>
    </cfRule>
  </conditionalFormatting>
  <conditionalFormatting sqref="T11:U53">
    <cfRule type="cellIs" dxfId="675" priority="6114" operator="equal">
      <formula>#REF!</formula>
    </cfRule>
    <cfRule type="expression" dxfId="674" priority="6113">
      <formula>#REF!</formula>
    </cfRule>
  </conditionalFormatting>
  <conditionalFormatting sqref="T29:U53 T54 T55:U71 T72">
    <cfRule type="containsText" dxfId="673" priority="8477" operator="containsText" text="1-Jan-2025">
      <formula>NOT(ISERROR(SEARCH("1-Jan-2025",T29)))</formula>
    </cfRule>
  </conditionalFormatting>
  <conditionalFormatting sqref="T54:U71">
    <cfRule type="expression" dxfId="672" priority="5755">
      <formula>#REF!</formula>
    </cfRule>
  </conditionalFormatting>
  <conditionalFormatting sqref="T72:U72">
    <cfRule type="expression" dxfId="671" priority="5748">
      <formula>#REF!</formula>
    </cfRule>
  </conditionalFormatting>
  <conditionalFormatting sqref="U3:U5">
    <cfRule type="expression" dxfId="670" priority="661">
      <formula>#REF!</formula>
    </cfRule>
  </conditionalFormatting>
  <conditionalFormatting sqref="U4">
    <cfRule type="containsText" dxfId="669" priority="663" operator="containsText" text="1-Jan-2025">
      <formula>NOT(ISERROR(SEARCH("1-Jan-2025",U4)))</formula>
    </cfRule>
    <cfRule type="expression" dxfId="668" priority="664">
      <formula>#REF!</formula>
    </cfRule>
    <cfRule type="cellIs" dxfId="667" priority="662" operator="equal">
      <formula>#REF!</formula>
    </cfRule>
  </conditionalFormatting>
  <conditionalFormatting sqref="U6">
    <cfRule type="expression" dxfId="666" priority="321">
      <formula>#REF!</formula>
    </cfRule>
    <cfRule type="containsText" dxfId="665" priority="320" operator="containsText" text="1-Jan-2025">
      <formula>NOT(ISERROR(SEARCH("1-Jan-2025",U6)))</formula>
    </cfRule>
    <cfRule type="cellIs" dxfId="664" priority="319" operator="equal">
      <formula>#REF!</formula>
    </cfRule>
    <cfRule type="expression" dxfId="663" priority="318">
      <formula>#REF!</formula>
    </cfRule>
  </conditionalFormatting>
  <conditionalFormatting sqref="U11:U27">
    <cfRule type="expression" dxfId="662" priority="6120">
      <formula>#REF!</formula>
    </cfRule>
    <cfRule type="containsText" dxfId="661" priority="6117" operator="containsText" text="1-Jan-2025">
      <formula>NOT(ISERROR(SEARCH("1-Jan-2025",U11)))</formula>
    </cfRule>
  </conditionalFormatting>
  <conditionalFormatting sqref="U28">
    <cfRule type="expression" dxfId="660" priority="6112">
      <formula>#REF!</formula>
    </cfRule>
  </conditionalFormatting>
  <conditionalFormatting sqref="U54">
    <cfRule type="cellIs" dxfId="659" priority="5754" operator="equal">
      <formula>#REF!</formula>
    </cfRule>
    <cfRule type="expression" dxfId="658" priority="5753">
      <formula>#REF!</formula>
    </cfRule>
    <cfRule type="expression" dxfId="657" priority="5752">
      <formula>#REF!</formula>
    </cfRule>
    <cfRule type="cellIs" dxfId="656" priority="5751" operator="equal">
      <formula>#REF!</formula>
    </cfRule>
    <cfRule type="expression" dxfId="655" priority="5750">
      <formula>#REF!</formula>
    </cfRule>
    <cfRule type="expression" dxfId="654" priority="5749">
      <formula>#REF!</formula>
    </cfRule>
  </conditionalFormatting>
  <conditionalFormatting sqref="U72">
    <cfRule type="expression" dxfId="653" priority="5745">
      <formula>#REF!</formula>
    </cfRule>
    <cfRule type="expression" dxfId="652" priority="5742">
      <formula>#REF!</formula>
    </cfRule>
    <cfRule type="expression" dxfId="651" priority="5743">
      <formula>#REF!</formula>
    </cfRule>
    <cfRule type="cellIs" dxfId="650" priority="5744" operator="equal">
      <formula>#REF!</formula>
    </cfRule>
    <cfRule type="expression" dxfId="649" priority="5746">
      <formula>#REF!</formula>
    </cfRule>
    <cfRule type="cellIs" dxfId="648" priority="5747" operator="equal">
      <formula>#REF!</formula>
    </cfRule>
  </conditionalFormatting>
  <conditionalFormatting sqref="W3:W12 AE3:AE72 X27:Y72">
    <cfRule type="cellIs" dxfId="647" priority="73" operator="equal">
      <formula>#REF!</formula>
    </cfRule>
  </conditionalFormatting>
  <conditionalFormatting sqref="W3:W18">
    <cfRule type="expression" dxfId="646" priority="65">
      <formula>#REF!</formula>
    </cfRule>
    <cfRule type="cellIs" dxfId="645" priority="76" operator="equal">
      <formula>#REF!</formula>
    </cfRule>
    <cfRule type="expression" dxfId="644" priority="72">
      <formula>#REF!</formula>
    </cfRule>
  </conditionalFormatting>
  <conditionalFormatting sqref="W9:W12 Z29:AC53 AE3:AE72 AF11:AG53">
    <cfRule type="expression" dxfId="643" priority="71">
      <formula>#REF!</formula>
    </cfRule>
  </conditionalFormatting>
  <conditionalFormatting sqref="W10:W12 AD11:AD72">
    <cfRule type="cellIs" dxfId="642" priority="70" operator="equal">
      <formula>#REF!</formula>
    </cfRule>
    <cfRule type="expression" dxfId="641" priority="69">
      <formula>#REF!</formula>
    </cfRule>
  </conditionalFormatting>
  <conditionalFormatting sqref="W10:W13">
    <cfRule type="expression" dxfId="640" priority="66">
      <formula>#REF!</formula>
    </cfRule>
    <cfRule type="expression" dxfId="639" priority="68">
      <formula>#REF!</formula>
    </cfRule>
    <cfRule type="cellIs" dxfId="638" priority="67" operator="equal">
      <formula>#REF!</formula>
    </cfRule>
  </conditionalFormatting>
  <conditionalFormatting sqref="W12:W13">
    <cfRule type="expression" dxfId="637" priority="62">
      <formula>#REF!</formula>
    </cfRule>
    <cfRule type="expression" dxfId="636" priority="63">
      <formula>#REF!</formula>
    </cfRule>
    <cfRule type="cellIs" dxfId="635" priority="64" operator="equal">
      <formula>#REF!</formula>
    </cfRule>
  </conditionalFormatting>
  <conditionalFormatting sqref="W13:W18">
    <cfRule type="expression" dxfId="634" priority="59">
      <formula>#REF!</formula>
    </cfRule>
    <cfRule type="expression" dxfId="633" priority="60">
      <formula>#REF!</formula>
    </cfRule>
    <cfRule type="cellIs" dxfId="632" priority="61" operator="equal">
      <formula>#REF!</formula>
    </cfRule>
  </conditionalFormatting>
  <conditionalFormatting sqref="W17:W18">
    <cfRule type="expression" dxfId="631" priority="77">
      <formula>#REF!</formula>
    </cfRule>
    <cfRule type="expression" dxfId="630" priority="78">
      <formula>#REF!</formula>
    </cfRule>
    <cfRule type="cellIs" dxfId="629" priority="79" operator="equal">
      <formula>#REF!</formula>
    </cfRule>
  </conditionalFormatting>
  <conditionalFormatting sqref="W21">
    <cfRule type="containsText" dxfId="628" priority="14" operator="containsText" text="False">
      <formula>NOT(ISERROR(SEARCH("False",W21)))</formula>
    </cfRule>
  </conditionalFormatting>
  <conditionalFormatting sqref="W24 W29:W72">
    <cfRule type="expression" dxfId="627" priority="57">
      <formula>#REF!</formula>
    </cfRule>
    <cfRule type="cellIs" dxfId="626" priority="56" operator="equal">
      <formula>#REF!</formula>
    </cfRule>
  </conditionalFormatting>
  <conditionalFormatting sqref="W24 W29:Y72">
    <cfRule type="expression" dxfId="625" priority="58">
      <formula>#REF!</formula>
    </cfRule>
  </conditionalFormatting>
  <conditionalFormatting sqref="W24">
    <cfRule type="expression" dxfId="624" priority="55">
      <formula>#REF!</formula>
    </cfRule>
  </conditionalFormatting>
  <conditionalFormatting sqref="W3:Y12">
    <cfRule type="expression" dxfId="623" priority="74">
      <formula>#REF!</formula>
    </cfRule>
    <cfRule type="expression" dxfId="622" priority="75">
      <formula>#REF!</formula>
    </cfRule>
  </conditionalFormatting>
  <conditionalFormatting sqref="X3:Y12">
    <cfRule type="cellIs" dxfId="621" priority="309" operator="equal">
      <formula>#REF!</formula>
    </cfRule>
  </conditionalFormatting>
  <conditionalFormatting sqref="X14:Y25">
    <cfRule type="expression" dxfId="620" priority="315">
      <formula>#REF!</formula>
    </cfRule>
    <cfRule type="expression" dxfId="619" priority="314">
      <formula>#REF!</formula>
    </cfRule>
    <cfRule type="cellIs" dxfId="618" priority="313" operator="equal">
      <formula>#REF!</formula>
    </cfRule>
  </conditionalFormatting>
  <conditionalFormatting sqref="X27:Y28">
    <cfRule type="expression" dxfId="617" priority="311">
      <formula>#REF!</formula>
    </cfRule>
  </conditionalFormatting>
  <conditionalFormatting sqref="X27:Y72 AC3 AE3:AE72">
    <cfRule type="expression" dxfId="616" priority="312">
      <formula>#REF!</formula>
    </cfRule>
  </conditionalFormatting>
  <conditionalFormatting sqref="X55:AC71 Z72 AB72">
    <cfRule type="cellIs" dxfId="615" priority="187" operator="equal">
      <formula>#REF!</formula>
    </cfRule>
  </conditionalFormatting>
  <conditionalFormatting sqref="Y54">
    <cfRule type="cellIs" dxfId="614" priority="141" operator="equal">
      <formula>#REF!</formula>
    </cfRule>
  </conditionalFormatting>
  <conditionalFormatting sqref="Y72 AD29:AD72">
    <cfRule type="expression" dxfId="613" priority="153">
      <formula>#REF!</formula>
    </cfRule>
  </conditionalFormatting>
  <conditionalFormatting sqref="Y54:Z54">
    <cfRule type="expression" dxfId="612" priority="142">
      <formula>#REF!</formula>
    </cfRule>
  </conditionalFormatting>
  <conditionalFormatting sqref="Z9:Z10">
    <cfRule type="expression" dxfId="611" priority="214">
      <formula>#REF!</formula>
    </cfRule>
    <cfRule type="cellIs" dxfId="610" priority="232" operator="equal">
      <formula>#REF!</formula>
    </cfRule>
    <cfRule type="expression" dxfId="609" priority="230">
      <formula>#REF!</formula>
    </cfRule>
    <cfRule type="expression" dxfId="608" priority="229">
      <formula>#REF!</formula>
    </cfRule>
    <cfRule type="expression" dxfId="607" priority="228">
      <formula>#REF!</formula>
    </cfRule>
    <cfRule type="cellIs" dxfId="606" priority="227" operator="equal">
      <formula>#REF!</formula>
    </cfRule>
    <cfRule type="expression" dxfId="605" priority="226">
      <formula>#REF!</formula>
    </cfRule>
    <cfRule type="expression" dxfId="604" priority="225">
      <formula>#REF!</formula>
    </cfRule>
    <cfRule type="cellIs" dxfId="603" priority="224" operator="equal">
      <formula>#REF!</formula>
    </cfRule>
    <cfRule type="expression" dxfId="602" priority="223">
      <formula>#REF!</formula>
    </cfRule>
    <cfRule type="expression" dxfId="601" priority="222">
      <formula>#REF!</formula>
    </cfRule>
    <cfRule type="expression" dxfId="600" priority="221">
      <formula>#REF!</formula>
    </cfRule>
    <cfRule type="expression" dxfId="599" priority="220">
      <formula>#REF!</formula>
    </cfRule>
    <cfRule type="containsText" dxfId="598" priority="219" operator="containsText" text="1-Jan-2025">
      <formula>NOT(ISERROR(SEARCH("1-Jan-2025",Z9)))</formula>
    </cfRule>
    <cfRule type="cellIs" dxfId="597" priority="218" operator="equal">
      <formula>#REF!</formula>
    </cfRule>
    <cfRule type="expression" dxfId="596" priority="217">
      <formula>#REF!</formula>
    </cfRule>
    <cfRule type="cellIs" dxfId="595" priority="215" operator="equal">
      <formula>#REF!</formula>
    </cfRule>
    <cfRule type="containsText" dxfId="594" priority="216" operator="containsText" text="1-Jan-2025">
      <formula>NOT(ISERROR(SEARCH("1-Jan-2025",Z9)))</formula>
    </cfRule>
  </conditionalFormatting>
  <conditionalFormatting sqref="Z11:Z16">
    <cfRule type="expression" dxfId="593" priority="197">
      <formula>#REF!</formula>
    </cfRule>
    <cfRule type="expression" dxfId="592" priority="201">
      <formula>#REF!</formula>
    </cfRule>
    <cfRule type="expression" dxfId="591" priority="195">
      <formula>#REF!</formula>
    </cfRule>
    <cfRule type="expression" dxfId="590" priority="196">
      <formula>#REF!</formula>
    </cfRule>
    <cfRule type="expression" dxfId="589" priority="198">
      <formula>#REF!</formula>
    </cfRule>
    <cfRule type="cellIs" dxfId="588" priority="199" operator="equal">
      <formula>#REF!</formula>
    </cfRule>
    <cfRule type="expression" dxfId="587" priority="200">
      <formula>#REF!</formula>
    </cfRule>
  </conditionalFormatting>
  <conditionalFormatting sqref="Z20">
    <cfRule type="cellIs" dxfId="586" priority="85" operator="equal">
      <formula>#REF!</formula>
    </cfRule>
    <cfRule type="expression" dxfId="585" priority="87">
      <formula>#REF!</formula>
    </cfRule>
    <cfRule type="containsText" dxfId="584" priority="86" operator="containsText" text="1-Jan-2025">
      <formula>NOT(ISERROR(SEARCH("1-Jan-2025",Z20)))</formula>
    </cfRule>
  </conditionalFormatting>
  <conditionalFormatting sqref="Z54">
    <cfRule type="cellIs" dxfId="583" priority="143" operator="equal">
      <formula>#REF!</formula>
    </cfRule>
    <cfRule type="expression" dxfId="582" priority="144">
      <formula>#REF!</formula>
    </cfRule>
  </conditionalFormatting>
  <conditionalFormatting sqref="Z3:AA3">
    <cfRule type="expression" dxfId="581" priority="295">
      <formula>#REF!</formula>
    </cfRule>
  </conditionalFormatting>
  <conditionalFormatting sqref="Z4:AA4">
    <cfRule type="expression" dxfId="580" priority="306">
      <formula>#REF!</formula>
    </cfRule>
    <cfRule type="expression" dxfId="579" priority="301">
      <formula>#REF!</formula>
    </cfRule>
    <cfRule type="expression" dxfId="578" priority="305">
      <formula>#REF!</formula>
    </cfRule>
    <cfRule type="cellIs" dxfId="577" priority="307" operator="equal">
      <formula>#REF!</formula>
    </cfRule>
    <cfRule type="expression" dxfId="576" priority="308">
      <formula>#REF!</formula>
    </cfRule>
    <cfRule type="expression" dxfId="575" priority="302">
      <formula>#REF!</formula>
    </cfRule>
    <cfRule type="expression" dxfId="574" priority="300">
      <formula>#REF!</formula>
    </cfRule>
    <cfRule type="cellIs" dxfId="573" priority="304" operator="equal">
      <formula>#REF!</formula>
    </cfRule>
    <cfRule type="expression" dxfId="572" priority="303">
      <formula>#REF!</formula>
    </cfRule>
    <cfRule type="containsText" dxfId="571" priority="299" operator="containsText" text="1-Jan-2025">
      <formula>NOT(ISERROR(SEARCH("1-Jan-2025",Z4)))</formula>
    </cfRule>
    <cfRule type="cellIs" dxfId="570" priority="298" operator="equal">
      <formula>#REF!</formula>
    </cfRule>
    <cfRule type="expression" dxfId="569" priority="297">
      <formula>#REF!</formula>
    </cfRule>
    <cfRule type="containsText" dxfId="568" priority="296" operator="containsText" text="1-Jan-2025">
      <formula>NOT(ISERROR(SEARCH("1-Jan-2025",Z4)))</formula>
    </cfRule>
  </conditionalFormatting>
  <conditionalFormatting sqref="Z4:AA5">
    <cfRule type="expression" dxfId="567" priority="292">
      <formula>#REF!</formula>
    </cfRule>
  </conditionalFormatting>
  <conditionalFormatting sqref="Z5:AA5">
    <cfRule type="expression" dxfId="566" priority="290">
      <formula>#REF!</formula>
    </cfRule>
    <cfRule type="cellIs" dxfId="565" priority="288" operator="equal">
      <formula>#REF!</formula>
    </cfRule>
    <cfRule type="expression" dxfId="564" priority="286">
      <formula>#REF!</formula>
    </cfRule>
    <cfRule type="cellIs" dxfId="563" priority="282" operator="equal">
      <formula>#REF!</formula>
    </cfRule>
    <cfRule type="expression" dxfId="562" priority="281">
      <formula>#REF!</formula>
    </cfRule>
    <cfRule type="containsText" dxfId="561" priority="280" operator="containsText" text="1-Jan-2025">
      <formula>NOT(ISERROR(SEARCH("1-Jan-2025",Z5)))</formula>
    </cfRule>
    <cfRule type="cellIs" dxfId="560" priority="279" operator="equal">
      <formula>#REF!</formula>
    </cfRule>
    <cfRule type="cellIs" dxfId="559" priority="291" operator="equal">
      <formula>#REF!</formula>
    </cfRule>
    <cfRule type="containsText" dxfId="558" priority="283" operator="containsText" text="1-Jan-2025">
      <formula>NOT(ISERROR(SEARCH("1-Jan-2025",Z5)))</formula>
    </cfRule>
    <cfRule type="expression" dxfId="557" priority="278">
      <formula>#REF!</formula>
    </cfRule>
    <cfRule type="expression" dxfId="556" priority="284">
      <formula>#REF!</formula>
    </cfRule>
    <cfRule type="expression" dxfId="555" priority="285">
      <formula>#REF!</formula>
    </cfRule>
    <cfRule type="expression" dxfId="554" priority="287">
      <formula>#REF!</formula>
    </cfRule>
    <cfRule type="expression" dxfId="553" priority="289">
      <formula>#REF!</formula>
    </cfRule>
  </conditionalFormatting>
  <conditionalFormatting sqref="Z6:AA6">
    <cfRule type="cellIs" dxfId="552" priority="271" operator="equal">
      <formula>#REF!</formula>
    </cfRule>
    <cfRule type="expression" dxfId="551" priority="261">
      <formula>#REF!</formula>
    </cfRule>
    <cfRule type="expression" dxfId="550" priority="272">
      <formula>#REF!</formula>
    </cfRule>
    <cfRule type="expression" dxfId="549" priority="273">
      <formula>#REF!</formula>
    </cfRule>
    <cfRule type="cellIs" dxfId="548" priority="274" operator="equal">
      <formula>#REF!</formula>
    </cfRule>
    <cfRule type="expression" dxfId="547" priority="275">
      <formula>#REF!</formula>
    </cfRule>
    <cfRule type="cellIs" dxfId="546" priority="262" operator="equal">
      <formula>#REF!</formula>
    </cfRule>
    <cfRule type="containsText" dxfId="545" priority="263" operator="containsText" text="1-Jan-2025">
      <formula>NOT(ISERROR(SEARCH("1-Jan-2025",Z6)))</formula>
    </cfRule>
    <cfRule type="expression" dxfId="544" priority="264">
      <formula>#REF!</formula>
    </cfRule>
    <cfRule type="cellIs" dxfId="543" priority="265" operator="equal">
      <formula>#REF!</formula>
    </cfRule>
    <cfRule type="containsText" dxfId="542" priority="266" operator="containsText" text="1-Jan-2025">
      <formula>NOT(ISERROR(SEARCH("1-Jan-2025",Z6)))</formula>
    </cfRule>
    <cfRule type="expression" dxfId="541" priority="267">
      <formula>#REF!</formula>
    </cfRule>
    <cfRule type="expression" dxfId="540" priority="268">
      <formula>#REF!</formula>
    </cfRule>
    <cfRule type="expression" dxfId="539" priority="269">
      <formula>#REF!</formula>
    </cfRule>
    <cfRule type="expression" dxfId="538" priority="270">
      <formula>#REF!</formula>
    </cfRule>
  </conditionalFormatting>
  <conditionalFormatting sqref="Z6:AA8">
    <cfRule type="expression" dxfId="537" priority="259">
      <formula>#REF!</formula>
    </cfRule>
  </conditionalFormatting>
  <conditionalFormatting sqref="Z7:AA8">
    <cfRule type="expression" dxfId="536" priority="241">
      <formula>#REF!</formula>
    </cfRule>
    <cfRule type="expression" dxfId="535" priority="249">
      <formula>#REF!</formula>
    </cfRule>
    <cfRule type="expression" dxfId="534" priority="244">
      <formula>#REF!</formula>
    </cfRule>
    <cfRule type="containsText" dxfId="533" priority="243" operator="containsText" text="1-Jan-2025">
      <formula>NOT(ISERROR(SEARCH("1-Jan-2025",Z7)))</formula>
    </cfRule>
    <cfRule type="cellIs" dxfId="532" priority="242" operator="equal">
      <formula>#REF!</formula>
    </cfRule>
    <cfRule type="expression" dxfId="531" priority="245">
      <formula>#REF!</formula>
    </cfRule>
    <cfRule type="expression" dxfId="530" priority="252">
      <formula>#REF!</formula>
    </cfRule>
    <cfRule type="expression" dxfId="529" priority="250">
      <formula>#REF!</formula>
    </cfRule>
    <cfRule type="expression" dxfId="528" priority="257">
      <formula>#REF!</formula>
    </cfRule>
    <cfRule type="cellIs" dxfId="527" priority="251" operator="equal">
      <formula>#REF!</formula>
    </cfRule>
    <cfRule type="expression" dxfId="526" priority="258">
      <formula>#REF!</formula>
    </cfRule>
    <cfRule type="cellIs" dxfId="525" priority="260" operator="equal">
      <formula>#REF!</formula>
    </cfRule>
    <cfRule type="expression" dxfId="524" priority="246">
      <formula>#REF!</formula>
    </cfRule>
    <cfRule type="expression" dxfId="523" priority="247">
      <formula>#REF!</formula>
    </cfRule>
    <cfRule type="cellIs" dxfId="522" priority="248" operator="equal">
      <formula>#REF!</formula>
    </cfRule>
    <cfRule type="containsText" dxfId="521" priority="240" operator="containsText" text="1-Jan-2025">
      <formula>NOT(ISERROR(SEARCH("1-Jan-2025",Z7)))</formula>
    </cfRule>
  </conditionalFormatting>
  <conditionalFormatting sqref="Z9:AA9">
    <cfRule type="expression" dxfId="520" priority="231">
      <formula>#REF!</formula>
    </cfRule>
  </conditionalFormatting>
  <conditionalFormatting sqref="Z10:AA11">
    <cfRule type="expression" dxfId="519" priority="202">
      <formula>#REF!</formula>
    </cfRule>
  </conditionalFormatting>
  <conditionalFormatting sqref="Z18:AA19 Z29:AC53">
    <cfRule type="expression" dxfId="518" priority="49">
      <formula>#REF!</formula>
    </cfRule>
    <cfRule type="cellIs" dxfId="517" priority="48" operator="equal">
      <formula>#REF!</formula>
    </cfRule>
  </conditionalFormatting>
  <conditionalFormatting sqref="Z18:AA19">
    <cfRule type="expression" dxfId="516" priority="50">
      <formula>#REF!</formula>
    </cfRule>
  </conditionalFormatting>
  <conditionalFormatting sqref="Z20:AA20">
    <cfRule type="expression" dxfId="515" priority="84">
      <formula>#REF!</formula>
    </cfRule>
  </conditionalFormatting>
  <conditionalFormatting sqref="Z22:AA22">
    <cfRule type="containsText" dxfId="514" priority="28" operator="containsText" text="1-Jan-2025">
      <formula>NOT(ISERROR(SEARCH("1-Jan-2025",Z22)))</formula>
    </cfRule>
  </conditionalFormatting>
  <conditionalFormatting sqref="Z22:AA23">
    <cfRule type="expression" dxfId="513" priority="30">
      <formula>#REF!</formula>
    </cfRule>
    <cfRule type="expression" dxfId="512" priority="29">
      <formula>#REF!</formula>
    </cfRule>
    <cfRule type="cellIs" dxfId="511" priority="27" operator="equal">
      <formula>#REF!</formula>
    </cfRule>
  </conditionalFormatting>
  <conditionalFormatting sqref="Z25:AA26">
    <cfRule type="expression" dxfId="510" priority="25">
      <formula>#REF!</formula>
    </cfRule>
    <cfRule type="expression" dxfId="509" priority="24">
      <formula>#REF!</formula>
    </cfRule>
    <cfRule type="cellIs" dxfId="508" priority="23" operator="equal">
      <formula>#REF!</formula>
    </cfRule>
  </conditionalFormatting>
  <conditionalFormatting sqref="Z15:AB16">
    <cfRule type="expression" dxfId="507" priority="104">
      <formula>#REF!</formula>
    </cfRule>
  </conditionalFormatting>
  <conditionalFormatting sqref="Z22:AB22">
    <cfRule type="expression" dxfId="506" priority="26">
      <formula>#REF!</formula>
    </cfRule>
  </conditionalFormatting>
  <conditionalFormatting sqref="Z3:AC4">
    <cfRule type="cellIs" dxfId="505" priority="294" operator="equal">
      <formula>#REF!</formula>
    </cfRule>
  </conditionalFormatting>
  <conditionalFormatting sqref="Z3:AC5">
    <cfRule type="expression" dxfId="504" priority="276">
      <formula>#REF!</formula>
    </cfRule>
  </conditionalFormatting>
  <conditionalFormatting sqref="Z7:AC8">
    <cfRule type="cellIs" dxfId="503" priority="205" operator="equal">
      <formula>#REF!</formula>
    </cfRule>
    <cfRule type="expression" dxfId="502" priority="203">
      <formula>#REF!</formula>
    </cfRule>
  </conditionalFormatting>
  <conditionalFormatting sqref="Z12:AC14">
    <cfRule type="expression" dxfId="501" priority="164">
      <formula>#REF!</formula>
    </cfRule>
  </conditionalFormatting>
  <conditionalFormatting sqref="Z17:AC17">
    <cfRule type="cellIs" dxfId="500" priority="192" operator="equal">
      <formula>#REF!</formula>
    </cfRule>
    <cfRule type="expression" dxfId="499" priority="193">
      <formula>#REF!</formula>
    </cfRule>
    <cfRule type="expression" dxfId="498" priority="194">
      <formula>#REF!</formula>
    </cfRule>
  </conditionalFormatting>
  <conditionalFormatting sqref="Z55:AC71 Z72 AB72">
    <cfRule type="expression" dxfId="497" priority="188">
      <formula>#REF!</formula>
    </cfRule>
    <cfRule type="expression" dxfId="496" priority="186">
      <formula>#REF!</formula>
    </cfRule>
  </conditionalFormatting>
  <conditionalFormatting sqref="Z55:AC72">
    <cfRule type="cellIs" dxfId="495" priority="184" operator="equal">
      <formula>#REF!</formula>
    </cfRule>
    <cfRule type="expression" dxfId="494" priority="183">
      <formula>#REF!</formula>
    </cfRule>
    <cfRule type="expression" dxfId="493" priority="185">
      <formula>#REF!</formula>
    </cfRule>
  </conditionalFormatting>
  <conditionalFormatting sqref="AA9:AA16">
    <cfRule type="expression" dxfId="492" priority="236">
      <formula>#REF!</formula>
    </cfRule>
    <cfRule type="cellIs" dxfId="491" priority="237" operator="equal">
      <formula>#REF!</formula>
    </cfRule>
    <cfRule type="expression" dxfId="490" priority="235">
      <formula>#REF!</formula>
    </cfRule>
    <cfRule type="expression" dxfId="489" priority="238">
      <formula>#REF!</formula>
    </cfRule>
    <cfRule type="expression" dxfId="488" priority="239">
      <formula>#REF!</formula>
    </cfRule>
    <cfRule type="expression" dxfId="487" priority="234">
      <formula>#REF!</formula>
    </cfRule>
    <cfRule type="expression" dxfId="486" priority="233">
      <formula>#REF!</formula>
    </cfRule>
  </conditionalFormatting>
  <conditionalFormatting sqref="AA20">
    <cfRule type="cellIs" dxfId="485" priority="81" operator="equal">
      <formula>#REF!</formula>
    </cfRule>
    <cfRule type="containsText" dxfId="484" priority="82" operator="containsText" text="1-Jan-2025">
      <formula>NOT(ISERROR(SEARCH("1-Jan-2025",AA20)))</formula>
    </cfRule>
    <cfRule type="expression" dxfId="483" priority="83">
      <formula>#REF!</formula>
    </cfRule>
    <cfRule type="expression" dxfId="482" priority="80">
      <formula>#REF!</formula>
    </cfRule>
  </conditionalFormatting>
  <conditionalFormatting sqref="AA24">
    <cfRule type="expression" dxfId="481" priority="41">
      <formula>#REF!</formula>
    </cfRule>
  </conditionalFormatting>
  <conditionalFormatting sqref="AA27:AA28">
    <cfRule type="cellIs" dxfId="480" priority="42" operator="equal">
      <formula>#REF!</formula>
    </cfRule>
    <cfRule type="expression" dxfId="479" priority="43">
      <formula>#REF!</formula>
    </cfRule>
    <cfRule type="expression" dxfId="478" priority="44">
      <formula>#REF!</formula>
    </cfRule>
  </conditionalFormatting>
  <conditionalFormatting sqref="AA54">
    <cfRule type="cellIs" dxfId="477" priority="137" operator="equal">
      <formula>#REF!</formula>
    </cfRule>
  </conditionalFormatting>
  <conditionalFormatting sqref="AA72">
    <cfRule type="expression" dxfId="476" priority="149">
      <formula>#REF!</formula>
    </cfRule>
    <cfRule type="expression" dxfId="475" priority="152">
      <formula>#REF!</formula>
    </cfRule>
    <cfRule type="cellIs" dxfId="474" priority="151" operator="equal">
      <formula>#REF!</formula>
    </cfRule>
    <cfRule type="expression" dxfId="473" priority="150">
      <formula>#REF!</formula>
    </cfRule>
  </conditionalFormatting>
  <conditionalFormatting sqref="AA54:AB54">
    <cfRule type="expression" dxfId="472" priority="140">
      <formula>#REF!</formula>
    </cfRule>
    <cfRule type="cellIs" dxfId="471" priority="139" operator="equal">
      <formula>#REF!</formula>
    </cfRule>
    <cfRule type="expression" dxfId="470" priority="138">
      <formula>#REF!</formula>
    </cfRule>
  </conditionalFormatting>
  <conditionalFormatting sqref="AA24:AC24">
    <cfRule type="cellIs" dxfId="469" priority="88" operator="equal">
      <formula>#REF!</formula>
    </cfRule>
    <cfRule type="expression" dxfId="468" priority="89">
      <formula>#REF!</formula>
    </cfRule>
  </conditionalFormatting>
  <conditionalFormatting sqref="AB15:AB16">
    <cfRule type="expression" dxfId="467" priority="103">
      <formula>#REF!</formula>
    </cfRule>
    <cfRule type="cellIs" dxfId="466" priority="102" operator="equal">
      <formula>#REF!</formula>
    </cfRule>
    <cfRule type="expression" dxfId="465" priority="101">
      <formula>#REF!</formula>
    </cfRule>
    <cfRule type="expression" dxfId="464" priority="100">
      <formula>#REF!</formula>
    </cfRule>
    <cfRule type="expression" dxfId="463" priority="99">
      <formula>#REF!</formula>
    </cfRule>
    <cfRule type="expression" dxfId="462" priority="98">
      <formula>#REF!</formula>
    </cfRule>
  </conditionalFormatting>
  <conditionalFormatting sqref="AB24:AB26">
    <cfRule type="expression" dxfId="461" priority="90">
      <formula>#REF!</formula>
    </cfRule>
  </conditionalFormatting>
  <conditionalFormatting sqref="AB3:AC3">
    <cfRule type="expression" dxfId="460" priority="212">
      <formula>#REF!</formula>
    </cfRule>
  </conditionalFormatting>
  <conditionalFormatting sqref="AB3:AC5">
    <cfRule type="expression" dxfId="459" priority="213">
      <formula>#REF!</formula>
    </cfRule>
  </conditionalFormatting>
  <conditionalFormatting sqref="AB4:AC4">
    <cfRule type="expression" dxfId="458" priority="293">
      <formula>#REF!</formula>
    </cfRule>
  </conditionalFormatting>
  <conditionalFormatting sqref="AB5:AC5">
    <cfRule type="cellIs" dxfId="457" priority="277" operator="equal">
      <formula>#REF!</formula>
    </cfRule>
  </conditionalFormatting>
  <conditionalFormatting sqref="AB5:AC6">
    <cfRule type="expression" dxfId="456" priority="209">
      <formula>#REF!</formula>
    </cfRule>
    <cfRule type="cellIs" dxfId="455" priority="211" operator="equal">
      <formula>#REF!</formula>
    </cfRule>
    <cfRule type="expression" dxfId="454" priority="210">
      <formula>#REF!</formula>
    </cfRule>
  </conditionalFormatting>
  <conditionalFormatting sqref="AB6:AC7">
    <cfRule type="expression" dxfId="453" priority="207">
      <formula>#REF!</formula>
    </cfRule>
    <cfRule type="cellIs" dxfId="452" priority="208" operator="equal">
      <formula>#REF!</formula>
    </cfRule>
    <cfRule type="expression" dxfId="451" priority="206">
      <formula>#REF!</formula>
    </cfRule>
  </conditionalFormatting>
  <conditionalFormatting sqref="AB7:AC8">
    <cfRule type="expression" dxfId="450" priority="204">
      <formula>#REF!</formula>
    </cfRule>
  </conditionalFormatting>
  <conditionalFormatting sqref="AB8:AC11">
    <cfRule type="cellIs" dxfId="449" priority="110" operator="equal">
      <formula>#REF!</formula>
    </cfRule>
    <cfRule type="expression" dxfId="448" priority="109">
      <formula>#REF!</formula>
    </cfRule>
    <cfRule type="expression" dxfId="447" priority="108">
      <formula>#REF!</formula>
    </cfRule>
  </conditionalFormatting>
  <conditionalFormatting sqref="AB10:AC10">
    <cfRule type="cellIs" dxfId="446" priority="191" operator="equal">
      <formula>#REF!</formula>
    </cfRule>
    <cfRule type="expression" dxfId="445" priority="190">
      <formula>#REF!</formula>
    </cfRule>
    <cfRule type="expression" dxfId="444" priority="189">
      <formula>#REF!</formula>
    </cfRule>
  </conditionalFormatting>
  <conditionalFormatting sqref="AB11:AC11">
    <cfRule type="expression" dxfId="443" priority="105">
      <formula>#REF!</formula>
    </cfRule>
    <cfRule type="expression" dxfId="442" priority="106">
      <formula>#REF!</formula>
    </cfRule>
    <cfRule type="cellIs" dxfId="441" priority="107" operator="equal">
      <formula>#REF!</formula>
    </cfRule>
  </conditionalFormatting>
  <conditionalFormatting sqref="AB12:AC12">
    <cfRule type="cellIs" dxfId="440" priority="169" operator="equal">
      <formula>#REF!</formula>
    </cfRule>
    <cfRule type="expression" dxfId="439" priority="165">
      <formula>#REF!</formula>
    </cfRule>
    <cfRule type="expression" dxfId="438" priority="167">
      <formula>#REF!</formula>
    </cfRule>
    <cfRule type="expression" dxfId="437" priority="166">
      <formula>#REF!</formula>
    </cfRule>
    <cfRule type="expression" dxfId="436" priority="170">
      <formula>#REF!</formula>
    </cfRule>
    <cfRule type="expression" dxfId="435" priority="171">
      <formula>#REF!</formula>
    </cfRule>
    <cfRule type="expression" dxfId="434" priority="168">
      <formula>#REF!</formula>
    </cfRule>
  </conditionalFormatting>
  <conditionalFormatting sqref="AB13:AC13">
    <cfRule type="expression" dxfId="433" priority="157">
      <formula>#REF!</formula>
    </cfRule>
    <cfRule type="expression" dxfId="432" priority="163">
      <formula>#REF!</formula>
    </cfRule>
    <cfRule type="expression" dxfId="431" priority="161">
      <formula>#REF!</formula>
    </cfRule>
    <cfRule type="cellIs" dxfId="430" priority="162" operator="equal">
      <formula>#REF!</formula>
    </cfRule>
    <cfRule type="expression" dxfId="429" priority="160">
      <formula>#REF!</formula>
    </cfRule>
    <cfRule type="expression" dxfId="428" priority="159">
      <formula>#REF!</formula>
    </cfRule>
    <cfRule type="expression" dxfId="427" priority="158">
      <formula>#REF!</formula>
    </cfRule>
  </conditionalFormatting>
  <conditionalFormatting sqref="AB14:AC14">
    <cfRule type="expression" dxfId="426" priority="172">
      <formula>#REF!</formula>
    </cfRule>
    <cfRule type="expression" dxfId="425" priority="173">
      <formula>#REF!</formula>
    </cfRule>
    <cfRule type="expression" dxfId="424" priority="174">
      <formula>#REF!</formula>
    </cfRule>
    <cfRule type="expression" dxfId="423" priority="175">
      <formula>#REF!</formula>
    </cfRule>
    <cfRule type="cellIs" dxfId="422" priority="176" operator="equal">
      <formula>#REF!</formula>
    </cfRule>
    <cfRule type="expression" dxfId="421" priority="177">
      <formula>#REF!</formula>
    </cfRule>
    <cfRule type="expression" dxfId="420" priority="178">
      <formula>#REF!</formula>
    </cfRule>
  </conditionalFormatting>
  <conditionalFormatting sqref="AB15:AC15">
    <cfRule type="expression" dxfId="419" priority="96">
      <formula>#REF!</formula>
    </cfRule>
  </conditionalFormatting>
  <conditionalFormatting sqref="AB16:AC16">
    <cfRule type="expression" dxfId="418" priority="91">
      <formula>#REF!</formula>
    </cfRule>
  </conditionalFormatting>
  <conditionalFormatting sqref="AB21:AC21 AB22">
    <cfRule type="cellIs" dxfId="417" priority="131" operator="equal">
      <formula>#REF!</formula>
    </cfRule>
    <cfRule type="expression" dxfId="416" priority="132">
      <formula>#REF!</formula>
    </cfRule>
  </conditionalFormatting>
  <conditionalFormatting sqref="AB23:AC23">
    <cfRule type="containsText" dxfId="415" priority="15" operator="containsText" text="False">
      <formula>NOT(ISERROR(SEARCH("False",AB23)))</formula>
    </cfRule>
  </conditionalFormatting>
  <conditionalFormatting sqref="AB25:AC28">
    <cfRule type="cellIs" dxfId="414" priority="45" operator="equal">
      <formula>#REF!</formula>
    </cfRule>
    <cfRule type="expression" dxfId="413" priority="46">
      <formula>#REF!</formula>
    </cfRule>
  </conditionalFormatting>
  <conditionalFormatting sqref="AB27:AC28 AB21:AC21">
    <cfRule type="expression" dxfId="412" priority="130">
      <formula>#REF!</formula>
    </cfRule>
  </conditionalFormatting>
  <conditionalFormatting sqref="AB9:AD9">
    <cfRule type="expression" dxfId="411" priority="39">
      <formula>#REF!</formula>
    </cfRule>
    <cfRule type="expression" dxfId="410" priority="38">
      <formula>#REF!</formula>
    </cfRule>
    <cfRule type="cellIs" dxfId="409" priority="40" operator="equal">
      <formula>#REF!</formula>
    </cfRule>
  </conditionalFormatting>
  <conditionalFormatting sqref="AC3">
    <cfRule type="expression" dxfId="408" priority="254">
      <formula>#REF!</formula>
    </cfRule>
    <cfRule type="expression" dxfId="407" priority="256">
      <formula>#REF!</formula>
    </cfRule>
    <cfRule type="expression" dxfId="406" priority="255">
      <formula>#REF!</formula>
    </cfRule>
  </conditionalFormatting>
  <conditionalFormatting sqref="AC15:AC16">
    <cfRule type="expression" dxfId="405" priority="95">
      <formula>#REF!</formula>
    </cfRule>
    <cfRule type="cellIs" dxfId="404" priority="97" operator="equal">
      <formula>#REF!</formula>
    </cfRule>
    <cfRule type="expression" dxfId="403" priority="92">
      <formula>#REF!</formula>
    </cfRule>
    <cfRule type="cellIs" dxfId="402" priority="94" operator="equal">
      <formula>#REF!</formula>
    </cfRule>
    <cfRule type="expression" dxfId="401" priority="93">
      <formula>#REF!</formula>
    </cfRule>
  </conditionalFormatting>
  <conditionalFormatting sqref="AC24:AC26">
    <cfRule type="expression" dxfId="400" priority="47">
      <formula>#REF!</formula>
    </cfRule>
  </conditionalFormatting>
  <conditionalFormatting sqref="AC54">
    <cfRule type="cellIs" dxfId="399" priority="133" operator="equal">
      <formula>#REF!</formula>
    </cfRule>
    <cfRule type="expression" dxfId="398" priority="134">
      <formula>#REF!</formula>
    </cfRule>
    <cfRule type="cellIs" dxfId="397" priority="135" operator="equal">
      <formula>#REF!</formula>
    </cfRule>
    <cfRule type="expression" dxfId="396" priority="136">
      <formula>#REF!</formula>
    </cfRule>
  </conditionalFormatting>
  <conditionalFormatting sqref="AC72">
    <cfRule type="expression" dxfId="395" priority="148">
      <formula>#REF!</formula>
    </cfRule>
    <cfRule type="expression" dxfId="394" priority="145">
      <formula>#REF!</formula>
    </cfRule>
    <cfRule type="expression" dxfId="393" priority="146">
      <formula>#REF!</formula>
    </cfRule>
    <cfRule type="cellIs" dxfId="392" priority="147" operator="equal">
      <formula>#REF!</formula>
    </cfRule>
  </conditionalFormatting>
  <conditionalFormatting sqref="AD6">
    <cfRule type="containsText" dxfId="391" priority="33" operator="containsText" text="1-Jan-2025">
      <formula>NOT(ISERROR(SEARCH("1-Jan-2025",AD6)))</formula>
    </cfRule>
  </conditionalFormatting>
  <conditionalFormatting sqref="AD6:AD9">
    <cfRule type="expression" dxfId="390" priority="34">
      <formula>#REF!</formula>
    </cfRule>
    <cfRule type="cellIs" dxfId="389" priority="32" operator="equal">
      <formula>#REF!</formula>
    </cfRule>
    <cfRule type="expression" dxfId="388" priority="31">
      <formula>#REF!</formula>
    </cfRule>
  </conditionalFormatting>
  <conditionalFormatting sqref="AD7">
    <cfRule type="expression" dxfId="387" priority="35">
      <formula>#REF!</formula>
    </cfRule>
    <cfRule type="expression" dxfId="386" priority="36">
      <formula>#REF!</formula>
    </cfRule>
    <cfRule type="cellIs" dxfId="385" priority="37" operator="equal">
      <formula>#REF!</formula>
    </cfRule>
  </conditionalFormatting>
  <conditionalFormatting sqref="AD8:AD10">
    <cfRule type="expression" dxfId="384" priority="13">
      <formula>#REF!</formula>
    </cfRule>
    <cfRule type="cellIs" dxfId="383" priority="11" operator="equal">
      <formula>#REF!</formula>
    </cfRule>
  </conditionalFormatting>
  <conditionalFormatting sqref="AD8:AD28">
    <cfRule type="expression" dxfId="382" priority="10">
      <formula>#REF!</formula>
    </cfRule>
  </conditionalFormatting>
  <conditionalFormatting sqref="AD10">
    <cfRule type="containsText" dxfId="381" priority="12" operator="containsText" text="1-Jan-2025">
      <formula>NOT(ISERROR(SEARCH("1-Jan-2025",AD10)))</formula>
    </cfRule>
  </conditionalFormatting>
  <conditionalFormatting sqref="AD29:AD72 Y72">
    <cfRule type="expression" dxfId="380" priority="156">
      <formula>#REF!</formula>
    </cfRule>
    <cfRule type="expression" dxfId="379" priority="154">
      <formula>#REF!</formula>
    </cfRule>
    <cfRule type="cellIs" dxfId="378" priority="155" operator="equal">
      <formula>#REF!</formula>
    </cfRule>
  </conditionalFormatting>
  <conditionalFormatting sqref="AD54:AD72">
    <cfRule type="expression" dxfId="377" priority="51">
      <formula>#REF!</formula>
    </cfRule>
  </conditionalFormatting>
  <conditionalFormatting sqref="AD55:AD72">
    <cfRule type="expression" dxfId="376" priority="54">
      <formula>#REF!</formula>
    </cfRule>
    <cfRule type="cellIs" dxfId="375" priority="53" operator="equal">
      <formula>#REF!</formula>
    </cfRule>
    <cfRule type="expression" dxfId="374" priority="52">
      <formula>#REF!</formula>
    </cfRule>
  </conditionalFormatting>
  <conditionalFormatting sqref="AE3:AE72">
    <cfRule type="containsText" dxfId="373" priority="316" operator="containsText" text="1-Jan-2025">
      <formula>NOT(ISERROR(SEARCH("1-Jan-2025",AE3)))</formula>
    </cfRule>
  </conditionalFormatting>
  <conditionalFormatting sqref="AF11:AF28">
    <cfRule type="expression" dxfId="372" priority="310">
      <formula>#REF!</formula>
    </cfRule>
    <cfRule type="containsText" dxfId="371" priority="253" operator="containsText" text="1-Jan-2025">
      <formula>NOT(ISERROR(SEARCH("1-Jan-2025",AF11)))</formula>
    </cfRule>
  </conditionalFormatting>
  <conditionalFormatting sqref="AF54 AF55:AG71 AF72 AF29:AG53">
    <cfRule type="expression" dxfId="370" priority="181">
      <formula>#REF!</formula>
    </cfRule>
  </conditionalFormatting>
  <conditionalFormatting sqref="AF54 AF55:AG71 AF72">
    <cfRule type="cellIs" dxfId="369" priority="180" operator="equal">
      <formula>#REF!</formula>
    </cfRule>
    <cfRule type="expression" dxfId="368" priority="179">
      <formula>#REF!</formula>
    </cfRule>
  </conditionalFormatting>
  <conditionalFormatting sqref="AF3:AG5 AF6">
    <cfRule type="expression" dxfId="367" priority="18">
      <formula>#REF!</formula>
    </cfRule>
    <cfRule type="containsText" dxfId="366" priority="17" operator="containsText" text="1-Jan-2025">
      <formula>NOT(ISERROR(SEARCH("1-Jan-2025",AF3)))</formula>
    </cfRule>
    <cfRule type="cellIs" dxfId="365" priority="16" operator="equal">
      <formula>#REF!</formula>
    </cfRule>
  </conditionalFormatting>
  <conditionalFormatting sqref="AF3:AG6">
    <cfRule type="expression" dxfId="364" priority="9">
      <formula>#REF!</formula>
    </cfRule>
  </conditionalFormatting>
  <conditionalFormatting sqref="AF7:AG10">
    <cfRule type="containsText" dxfId="363" priority="4" operator="containsText" text="False">
      <formula>NOT(ISERROR(SEARCH("False",AF7)))</formula>
    </cfRule>
  </conditionalFormatting>
  <conditionalFormatting sqref="AF11:AG53">
    <cfRule type="expression" dxfId="362" priority="126">
      <formula>#REF!</formula>
    </cfRule>
    <cfRule type="cellIs" dxfId="361" priority="127" operator="equal">
      <formula>#REF!</formula>
    </cfRule>
  </conditionalFormatting>
  <conditionalFormatting sqref="AF29:AG53 AF54 AF55:AG71 AF72">
    <cfRule type="containsText" dxfId="360" priority="182" operator="containsText" text="1-Jan-2025">
      <formula>NOT(ISERROR(SEARCH("1-Jan-2025",AF29)))</formula>
    </cfRule>
  </conditionalFormatting>
  <conditionalFormatting sqref="AF54:AG71">
    <cfRule type="expression" dxfId="359" priority="124">
      <formula>#REF!</formula>
    </cfRule>
  </conditionalFormatting>
  <conditionalFormatting sqref="AF72:AG72">
    <cfRule type="expression" dxfId="358" priority="117">
      <formula>#REF!</formula>
    </cfRule>
  </conditionalFormatting>
  <conditionalFormatting sqref="AG3:AG5">
    <cfRule type="expression" dxfId="357" priority="19">
      <formula>#REF!</formula>
    </cfRule>
  </conditionalFormatting>
  <conditionalFormatting sqref="AG4">
    <cfRule type="cellIs" dxfId="356" priority="20" operator="equal">
      <formula>#REF!</formula>
    </cfRule>
    <cfRule type="containsText" dxfId="355" priority="21" operator="containsText" text="1-Jan-2025">
      <formula>NOT(ISERROR(SEARCH("1-Jan-2025",AG4)))</formula>
    </cfRule>
    <cfRule type="expression" dxfId="354" priority="22">
      <formula>#REF!</formula>
    </cfRule>
  </conditionalFormatting>
  <conditionalFormatting sqref="AG6">
    <cfRule type="expression" dxfId="353" priority="8">
      <formula>#REF!</formula>
    </cfRule>
    <cfRule type="containsText" dxfId="352" priority="7" operator="containsText" text="1-Jan-2025">
      <formula>NOT(ISERROR(SEARCH("1-Jan-2025",AG6)))</formula>
    </cfRule>
    <cfRule type="cellIs" dxfId="351" priority="6" operator="equal">
      <formula>#REF!</formula>
    </cfRule>
    <cfRule type="expression" dxfId="350" priority="5">
      <formula>#REF!</formula>
    </cfRule>
  </conditionalFormatting>
  <conditionalFormatting sqref="AG11:AG27">
    <cfRule type="expression" dxfId="349" priority="129">
      <formula>#REF!</formula>
    </cfRule>
    <cfRule type="containsText" dxfId="348" priority="128" operator="containsText" text="1-Jan-2025">
      <formula>NOT(ISERROR(SEARCH("1-Jan-2025",AG11)))</formula>
    </cfRule>
  </conditionalFormatting>
  <conditionalFormatting sqref="AG28">
    <cfRule type="expression" dxfId="347" priority="125">
      <formula>#REF!</formula>
    </cfRule>
  </conditionalFormatting>
  <conditionalFormatting sqref="AG54">
    <cfRule type="expression" dxfId="346" priority="118">
      <formula>#REF!</formula>
    </cfRule>
    <cfRule type="cellIs" dxfId="345" priority="123" operator="equal">
      <formula>#REF!</formula>
    </cfRule>
    <cfRule type="expression" dxfId="344" priority="122">
      <formula>#REF!</formula>
    </cfRule>
    <cfRule type="expression" dxfId="343" priority="121">
      <formula>#REF!</formula>
    </cfRule>
    <cfRule type="cellIs" dxfId="342" priority="120" operator="equal">
      <formula>#REF!</formula>
    </cfRule>
    <cfRule type="expression" dxfId="341" priority="119">
      <formula>#REF!</formula>
    </cfRule>
  </conditionalFormatting>
  <conditionalFormatting sqref="AG72">
    <cfRule type="expression" dxfId="340" priority="111">
      <formula>#REF!</formula>
    </cfRule>
    <cfRule type="cellIs" dxfId="339" priority="116" operator="equal">
      <formula>#REF!</formula>
    </cfRule>
    <cfRule type="expression" dxfId="338" priority="115">
      <formula>#REF!</formula>
    </cfRule>
    <cfRule type="expression" dxfId="337" priority="114">
      <formula>#REF!</formula>
    </cfRule>
    <cfRule type="expression" dxfId="336" priority="112">
      <formula>#REF!</formula>
    </cfRule>
    <cfRule type="cellIs" dxfId="335" priority="113" operator="equal">
      <formula>#REF!</formula>
    </cfRule>
  </conditionalFormatting>
  <conditionalFormatting sqref="AH55 V73:AD1048576">
    <cfRule type="containsText" dxfId="334" priority="82263" operator="containsText" text="False">
      <formula>NOT(ISERROR(SEARCH("False",V55)))</formula>
    </cfRule>
  </conditionalFormatting>
  <conditionalFormatting sqref="AH1:BA1 AH2:AV2 AZ2:BA2 AF73:BA1048576">
    <cfRule type="containsText" dxfId="333" priority="72001" operator="containsText" text="False">
      <formula>NOT(ISERROR(SEARCH("False",AF1)))</formula>
    </cfRule>
  </conditionalFormatting>
  <conditionalFormatting sqref="AJ5 AI6:AJ6">
    <cfRule type="containsText" dxfId="332" priority="17453" operator="containsText" text="1-Jan-2025">
      <formula>NOT(ISERROR(SEARCH("1-Jan-2025",AI5)))</formula>
    </cfRule>
  </conditionalFormatting>
  <conditionalFormatting sqref="AZ3:AZ28">
    <cfRule type="expression" dxfId="331" priority="6666">
      <formula>#REF!</formula>
    </cfRule>
    <cfRule type="expression" dxfId="330" priority="6664">
      <formula>#REF!</formula>
    </cfRule>
    <cfRule type="containsText" dxfId="329" priority="6665" operator="containsText" text="1-Jan-2025">
      <formula>NOT(ISERROR(SEARCH("1-Jan-2025",AZ3)))</formula>
    </cfRule>
    <cfRule type="cellIs" dxfId="328" priority="6667" operator="equal">
      <formula>#REF!</formula>
    </cfRule>
    <cfRule type="expression" dxfId="327" priority="6668">
      <formula>#REF!</formula>
    </cfRule>
  </conditionalFormatting>
  <conditionalFormatting sqref="BF1:BF1048576 AY3:AY39 BA3:BA39 AH3:AX72 AY40:BA72">
    <cfRule type="containsText" dxfId="326" priority="3015" operator="containsText" text="False">
      <formula>NOT(ISERROR(SEARCH("False",AH1)))</formula>
    </cfRule>
  </conditionalFormatting>
  <conditionalFormatting sqref="BG73:BP1048576">
    <cfRule type="containsText" dxfId="325" priority="75180" operator="containsText" text="False">
      <formula>NOT(ISERROR(SEARCH("False",BG73)))</formula>
    </cfRule>
  </conditionalFormatting>
  <conditionalFormatting sqref="BH3:BH28 BI27:BJ28">
    <cfRule type="expression" dxfId="324" priority="7379">
      <formula>#REF!</formula>
    </cfRule>
  </conditionalFormatting>
  <conditionalFormatting sqref="BH3:BH72 BP3:BR4">
    <cfRule type="expression" dxfId="323" priority="26290">
      <formula>#REF!</formula>
    </cfRule>
  </conditionalFormatting>
  <conditionalFormatting sqref="BH18:BH20">
    <cfRule type="expression" dxfId="322" priority="61210">
      <formula>#REF!</formula>
    </cfRule>
  </conditionalFormatting>
  <conditionalFormatting sqref="BH19">
    <cfRule type="expression" dxfId="321" priority="61209">
      <formula>#REF!</formula>
    </cfRule>
  </conditionalFormatting>
  <conditionalFormatting sqref="BH3:BN4">
    <cfRule type="cellIs" dxfId="320" priority="17668" operator="equal">
      <formula>#REF!</formula>
    </cfRule>
    <cfRule type="expression" dxfId="319" priority="33232">
      <formula>#REF!</formula>
    </cfRule>
  </conditionalFormatting>
  <conditionalFormatting sqref="BH1:BR2">
    <cfRule type="expression" dxfId="318" priority="60792">
      <formula>#REF!</formula>
    </cfRule>
    <cfRule type="expression" dxfId="317" priority="60795">
      <formula>#REF!</formula>
    </cfRule>
    <cfRule type="containsText" dxfId="316" priority="60793" operator="containsText" text="1-Jan-2025">
      <formula>NOT(ISERROR(SEARCH("1-Jan-2025",BH1)))</formula>
    </cfRule>
  </conditionalFormatting>
  <conditionalFormatting sqref="BH1:BR72 K3:K12 S3:S72 L27:M72">
    <cfRule type="cellIs" dxfId="315" priority="3065" operator="equal">
      <formula>#REF!</formula>
    </cfRule>
  </conditionalFormatting>
  <conditionalFormatting sqref="BH3:BR72">
    <cfRule type="cellIs" dxfId="314" priority="60753" operator="lessThan">
      <formula>0</formula>
    </cfRule>
    <cfRule type="cellIs" dxfId="313" priority="61267" operator="equal">
      <formula>#REF!</formula>
    </cfRule>
    <cfRule type="expression" dxfId="312" priority="61266">
      <formula>#REF!</formula>
    </cfRule>
    <cfRule type="expression" dxfId="311" priority="61212">
      <formula>#REF!</formula>
    </cfRule>
    <cfRule type="cellIs" dxfId="310" priority="60754" operator="greaterThan">
      <formula>0</formula>
    </cfRule>
  </conditionalFormatting>
  <conditionalFormatting sqref="BI5:BJ20">
    <cfRule type="cellIs" dxfId="309" priority="44684" operator="equal">
      <formula>#REF!</formula>
    </cfRule>
  </conditionalFormatting>
  <conditionalFormatting sqref="BI5:BJ25">
    <cfRule type="expression" dxfId="308" priority="44683">
      <formula>#REF!</formula>
    </cfRule>
  </conditionalFormatting>
  <conditionalFormatting sqref="BI8:BJ20">
    <cfRule type="expression" dxfId="307" priority="58184">
      <formula>#REF!</formula>
    </cfRule>
  </conditionalFormatting>
  <conditionalFormatting sqref="BI14:BJ25">
    <cfRule type="expression" dxfId="306" priority="61723">
      <formula>#REF!</formula>
    </cfRule>
    <cfRule type="cellIs" dxfId="305" priority="61716" operator="equal">
      <formula>#REF!</formula>
    </cfRule>
  </conditionalFormatting>
  <conditionalFormatting sqref="BK18:BL18">
    <cfRule type="cellIs" dxfId="304" priority="61688" operator="equal">
      <formula>#REF!</formula>
    </cfRule>
  </conditionalFormatting>
  <conditionalFormatting sqref="BK18:BL20">
    <cfRule type="expression" dxfId="303" priority="61689">
      <formula>#REF!</formula>
    </cfRule>
  </conditionalFormatting>
  <conditionalFormatting sqref="BK19:BL20">
    <cfRule type="expression" dxfId="302" priority="61712">
      <formula>#REF!</formula>
    </cfRule>
    <cfRule type="cellIs" dxfId="301" priority="61710" operator="equal">
      <formula>#REF!</formula>
    </cfRule>
  </conditionalFormatting>
  <conditionalFormatting sqref="BK8:BN11">
    <cfRule type="cellIs" dxfId="300" priority="61671" operator="equal">
      <formula>#REF!</formula>
    </cfRule>
    <cfRule type="expression" dxfId="299" priority="61672">
      <formula>#REF!</formula>
    </cfRule>
    <cfRule type="expression" dxfId="298" priority="61670">
      <formula>#REF!</formula>
    </cfRule>
  </conditionalFormatting>
  <conditionalFormatting sqref="BK12:BN12 BM18:BN18">
    <cfRule type="expression" dxfId="297" priority="61705">
      <formula>#REF!</formula>
    </cfRule>
    <cfRule type="cellIs" dxfId="296" priority="61704" operator="equal">
      <formula>#REF!</formula>
    </cfRule>
  </conditionalFormatting>
  <conditionalFormatting sqref="BK12:BN12">
    <cfRule type="expression" dxfId="295" priority="61706">
      <formula>#REF!</formula>
    </cfRule>
  </conditionalFormatting>
  <conditionalFormatting sqref="BK13:BN13">
    <cfRule type="cellIs" dxfId="294" priority="61699" operator="equal">
      <formula>#REF!</formula>
    </cfRule>
    <cfRule type="expression" dxfId="293" priority="61700">
      <formula>#REF!</formula>
    </cfRule>
  </conditionalFormatting>
  <conditionalFormatting sqref="BK14:BN17">
    <cfRule type="cellIs" dxfId="292" priority="55661" operator="equal">
      <formula>#REF!</formula>
    </cfRule>
    <cfRule type="expression" dxfId="291" priority="55662">
      <formula>#REF!</formula>
    </cfRule>
  </conditionalFormatting>
  <conditionalFormatting sqref="BK18:BN18">
    <cfRule type="expression" dxfId="290" priority="61694">
      <formula>#REF!</formula>
    </cfRule>
  </conditionalFormatting>
  <conditionalFormatting sqref="BL20">
    <cfRule type="expression" dxfId="289" priority="61695">
      <formula>#REF!</formula>
    </cfRule>
  </conditionalFormatting>
  <conditionalFormatting sqref="BL20:BN20">
    <cfRule type="expression" dxfId="288" priority="61635">
      <formula>#REF!</formula>
    </cfRule>
  </conditionalFormatting>
  <conditionalFormatting sqref="BM11">
    <cfRule type="expression" dxfId="287" priority="61698">
      <formula>#REF!</formula>
    </cfRule>
  </conditionalFormatting>
  <conditionalFormatting sqref="BM13">
    <cfRule type="expression" dxfId="286" priority="61697">
      <formula>#REF!</formula>
    </cfRule>
  </conditionalFormatting>
  <conditionalFormatting sqref="BM12:BN12">
    <cfRule type="expression" dxfId="285" priority="61703">
      <formula>#REF!</formula>
    </cfRule>
  </conditionalFormatting>
  <conditionalFormatting sqref="BM18:BN18">
    <cfRule type="expression" dxfId="284" priority="61709">
      <formula>#REF!</formula>
    </cfRule>
  </conditionalFormatting>
  <conditionalFormatting sqref="BM18:BN19">
    <cfRule type="expression" dxfId="283" priority="61641">
      <formula>#REF!</formula>
    </cfRule>
  </conditionalFormatting>
  <conditionalFormatting sqref="BM19:BN19">
    <cfRule type="expression" dxfId="282" priority="61640">
      <formula>#REF!</formula>
    </cfRule>
    <cfRule type="cellIs" dxfId="281" priority="61639" operator="equal">
      <formula>#REF!</formula>
    </cfRule>
  </conditionalFormatting>
  <conditionalFormatting sqref="BM19:BN20">
    <cfRule type="expression" dxfId="280" priority="61638">
      <formula>#REF!</formula>
    </cfRule>
  </conditionalFormatting>
  <conditionalFormatting sqref="BM20:BN20">
    <cfRule type="expression" dxfId="279" priority="61637">
      <formula>#REF!</formula>
    </cfRule>
    <cfRule type="cellIs" dxfId="278" priority="61636" operator="equal">
      <formula>#REF!</formula>
    </cfRule>
  </conditionalFormatting>
  <conditionalFormatting sqref="BM3:BO27">
    <cfRule type="expression" dxfId="277" priority="44123">
      <formula>#REF!</formula>
    </cfRule>
    <cfRule type="cellIs" dxfId="276" priority="44124" operator="equal">
      <formula>#REF!</formula>
    </cfRule>
  </conditionalFormatting>
  <conditionalFormatting sqref="BN3:BN72 BP3:BP72 BH18 BH20 S3:S72 AI2:AI72">
    <cfRule type="containsText" dxfId="275" priority="61211" operator="containsText" text="1-Jan-2025">
      <formula>NOT(ISERROR(SEARCH("1-Jan-2025",S2)))</formula>
    </cfRule>
  </conditionalFormatting>
  <conditionalFormatting sqref="BO18:BO19">
    <cfRule type="containsText" dxfId="274" priority="61169" operator="containsText" text="1-Jan-2025">
      <formula>NOT(ISERROR(SEARCH("1-Jan-2025",BO18)))</formula>
    </cfRule>
    <cfRule type="expression" dxfId="273" priority="61170">
      <formula>#REF!</formula>
    </cfRule>
  </conditionalFormatting>
  <conditionalFormatting sqref="BO18:BO20">
    <cfRule type="cellIs" dxfId="272" priority="60941" operator="equal">
      <formula>#REF!</formula>
    </cfRule>
    <cfRule type="expression" dxfId="271" priority="60939">
      <formula>#REF!</formula>
    </cfRule>
  </conditionalFormatting>
  <conditionalFormatting sqref="BO20">
    <cfRule type="expression" dxfId="270" priority="60940">
      <formula>#REF!</formula>
    </cfRule>
    <cfRule type="cellIs" dxfId="269" priority="60938" operator="equal">
      <formula>#REF!</formula>
    </cfRule>
    <cfRule type="expression" dxfId="268" priority="60937">
      <formula>#REF!</formula>
    </cfRule>
    <cfRule type="expression" dxfId="267" priority="60935">
      <formula>#REF!</formula>
    </cfRule>
  </conditionalFormatting>
  <conditionalFormatting sqref="BP19:BP20">
    <cfRule type="cellIs" dxfId="266" priority="58122" operator="equal">
      <formula>#REF!</formula>
    </cfRule>
  </conditionalFormatting>
  <conditionalFormatting sqref="BP8:BQ13">
    <cfRule type="expression" dxfId="265" priority="61649">
      <formula>#REF!</formula>
    </cfRule>
  </conditionalFormatting>
  <conditionalFormatting sqref="BP3:BR4">
    <cfRule type="cellIs" dxfId="264" priority="12154" operator="equal">
      <formula>#REF!</formula>
    </cfRule>
    <cfRule type="expression" dxfId="263" priority="26294">
      <formula>#REF!</formula>
    </cfRule>
  </conditionalFormatting>
  <conditionalFormatting sqref="BP18:BR18">
    <cfRule type="cellIs" dxfId="262" priority="61439" operator="equal">
      <formula>#REF!</formula>
    </cfRule>
  </conditionalFormatting>
  <conditionalFormatting sqref="BQ11:BQ13">
    <cfRule type="cellIs" dxfId="261" priority="61648" operator="equal">
      <formula>#REF!</formula>
    </cfRule>
    <cfRule type="expression" dxfId="260" priority="61646">
      <formula>#REF!</formula>
    </cfRule>
    <cfRule type="cellIs" dxfId="259" priority="61645" operator="equal">
      <formula>#REF!</formula>
    </cfRule>
    <cfRule type="expression" dxfId="258" priority="61644">
      <formula>#REF!</formula>
    </cfRule>
    <cfRule type="expression" dxfId="257" priority="61647">
      <formula>#REF!</formula>
    </cfRule>
  </conditionalFormatting>
  <conditionalFormatting sqref="BQ20">
    <cfRule type="expression" dxfId="256" priority="61270">
      <formula>#REF!</formula>
    </cfRule>
  </conditionalFormatting>
  <conditionalFormatting sqref="BQ3:BR4">
    <cfRule type="containsText" dxfId="255" priority="33383" operator="containsText" text="1-Jan-2025">
      <formula>NOT(ISERROR(SEARCH("1-Jan-2025",BQ3)))</formula>
    </cfRule>
  </conditionalFormatting>
  <conditionalFormatting sqref="BQ3:BR27">
    <cfRule type="cellIs" dxfId="254" priority="33260" operator="equal">
      <formula>#REF!</formula>
    </cfRule>
  </conditionalFormatting>
  <conditionalFormatting sqref="BQ19:BR19">
    <cfRule type="expression" dxfId="253" priority="60819">
      <formula>#REF!</formula>
    </cfRule>
    <cfRule type="expression" dxfId="252" priority="60817">
      <formula>#REF!</formula>
    </cfRule>
    <cfRule type="expression" dxfId="251" priority="60816">
      <formula>#REF!</formula>
    </cfRule>
    <cfRule type="cellIs" dxfId="250" priority="60815" operator="equal">
      <formula>#REF!</formula>
    </cfRule>
    <cfRule type="expression" dxfId="249" priority="60814">
      <formula>#REF!</formula>
    </cfRule>
    <cfRule type="expression" dxfId="248" priority="60813">
      <formula>#REF!</formula>
    </cfRule>
  </conditionalFormatting>
  <conditionalFormatting sqref="BQ19:BR20">
    <cfRule type="cellIs" dxfId="247" priority="60818" operator="equal">
      <formula>#REF!</formula>
    </cfRule>
  </conditionalFormatting>
  <conditionalFormatting sqref="BR11:BR17">
    <cfRule type="expression" dxfId="246" priority="54716">
      <formula>#REF!</formula>
    </cfRule>
    <cfRule type="cellIs" dxfId="245" priority="54717" operator="equal">
      <formula>#REF!</formula>
    </cfRule>
  </conditionalFormatting>
  <conditionalFormatting sqref="BR14:BR17">
    <cfRule type="expression" dxfId="244" priority="54503">
      <formula>#REF!</formula>
    </cfRule>
    <cfRule type="cellIs" dxfId="243" priority="54502" operator="equal">
      <formula>#REF!</formula>
    </cfRule>
    <cfRule type="expression" dxfId="242" priority="54501">
      <formula>#REF!</formula>
    </cfRule>
    <cfRule type="expression" dxfId="241" priority="54504">
      <formula>#REF!</formula>
    </cfRule>
    <cfRule type="cellIs" dxfId="240" priority="54505" operator="equal">
      <formula>#REF!</formula>
    </cfRule>
    <cfRule type="expression" dxfId="239" priority="54506">
      <formula>#REF!</formula>
    </cfRule>
    <cfRule type="expression" dxfId="238" priority="54500">
      <formula>#REF!</formula>
    </cfRule>
  </conditionalFormatting>
  <conditionalFormatting sqref="BR18">
    <cfRule type="expression" dxfId="237" priority="61136">
      <formula>#REF!</formula>
    </cfRule>
  </conditionalFormatting>
  <conditionalFormatting sqref="BR20">
    <cfRule type="expression" dxfId="236" priority="61144">
      <formula>#REF!</formula>
    </cfRule>
  </conditionalFormatting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ADB4C8-3D78-E342-A59C-D94A6B20944E}">
  <dimension ref="A1:I27"/>
  <sheetViews>
    <sheetView showGridLines="0" zoomScale="130" zoomScaleNormal="130" workbookViewId="0"/>
  </sheetViews>
  <sheetFormatPr baseColWidth="10" defaultRowHeight="16"/>
  <cols>
    <col min="2" max="2" width="18.6640625" customWidth="1"/>
    <col min="3" max="3" width="21" bestFit="1" customWidth="1"/>
    <col min="4" max="4" width="20.33203125" customWidth="1"/>
    <col min="8" max="8" width="16.5" customWidth="1"/>
  </cols>
  <sheetData>
    <row r="1" spans="1:9" ht="28">
      <c r="A1" s="5" t="s">
        <v>568</v>
      </c>
      <c r="B1" s="5" t="s">
        <v>612</v>
      </c>
      <c r="C1" s="5" t="s">
        <v>613</v>
      </c>
      <c r="D1" s="5" t="s">
        <v>290</v>
      </c>
      <c r="E1" s="5" t="s">
        <v>615</v>
      </c>
      <c r="H1" s="5" t="s">
        <v>612</v>
      </c>
      <c r="I1" s="5" t="s">
        <v>614</v>
      </c>
    </row>
    <row r="2" spans="1:9">
      <c r="A2" s="82" t="s">
        <v>611</v>
      </c>
      <c r="B2" s="82" t="s">
        <v>194</v>
      </c>
      <c r="C2" s="82" t="s">
        <v>195</v>
      </c>
      <c r="D2" s="82" t="s">
        <v>38</v>
      </c>
      <c r="E2" s="82">
        <v>1</v>
      </c>
      <c r="H2" s="8" t="s">
        <v>194</v>
      </c>
      <c r="I2" s="8">
        <v>1</v>
      </c>
    </row>
    <row r="3" spans="1:9">
      <c r="A3" s="82" t="s">
        <v>611</v>
      </c>
      <c r="B3" s="82" t="s">
        <v>194</v>
      </c>
      <c r="C3" s="82" t="s">
        <v>196</v>
      </c>
      <c r="D3" s="82" t="s">
        <v>40</v>
      </c>
      <c r="E3" s="82">
        <v>2</v>
      </c>
      <c r="H3" s="8" t="s">
        <v>190</v>
      </c>
      <c r="I3" s="8">
        <v>2</v>
      </c>
    </row>
    <row r="4" spans="1:9">
      <c r="A4" s="82" t="s">
        <v>611</v>
      </c>
      <c r="B4" s="82" t="s">
        <v>194</v>
      </c>
      <c r="C4" s="82" t="s">
        <v>198</v>
      </c>
      <c r="D4" s="82" t="s">
        <v>41</v>
      </c>
      <c r="E4" s="82">
        <v>3</v>
      </c>
      <c r="H4" s="8" t="s">
        <v>184</v>
      </c>
      <c r="I4" s="8">
        <v>3</v>
      </c>
    </row>
    <row r="5" spans="1:9">
      <c r="A5" s="82" t="s">
        <v>611</v>
      </c>
      <c r="B5" s="82" t="s">
        <v>194</v>
      </c>
      <c r="C5" s="82" t="s">
        <v>197</v>
      </c>
      <c r="D5" s="82" t="s">
        <v>39</v>
      </c>
      <c r="E5" s="82">
        <v>4</v>
      </c>
      <c r="H5" s="8" t="s">
        <v>183</v>
      </c>
      <c r="I5" s="8">
        <v>4</v>
      </c>
    </row>
    <row r="6" spans="1:9">
      <c r="A6" s="301" t="s">
        <v>611</v>
      </c>
      <c r="B6" s="301" t="s">
        <v>190</v>
      </c>
      <c r="C6" s="301" t="s">
        <v>191</v>
      </c>
      <c r="D6" s="301" t="s">
        <v>46</v>
      </c>
      <c r="E6" s="301">
        <v>5</v>
      </c>
      <c r="H6" s="8" t="s">
        <v>185</v>
      </c>
      <c r="I6" s="8">
        <v>5</v>
      </c>
    </row>
    <row r="7" spans="1:9">
      <c r="A7" s="301" t="s">
        <v>611</v>
      </c>
      <c r="B7" s="301" t="s">
        <v>190</v>
      </c>
      <c r="C7" s="301" t="s">
        <v>192</v>
      </c>
      <c r="D7" s="301" t="s">
        <v>47</v>
      </c>
      <c r="E7" s="301">
        <v>6</v>
      </c>
      <c r="H7" s="8" t="s">
        <v>179</v>
      </c>
      <c r="I7" s="8">
        <v>6</v>
      </c>
    </row>
    <row r="8" spans="1:9">
      <c r="A8" s="301" t="s">
        <v>611</v>
      </c>
      <c r="B8" s="301" t="s">
        <v>190</v>
      </c>
      <c r="C8" s="301" t="s">
        <v>193</v>
      </c>
      <c r="D8" s="301" t="s">
        <v>48</v>
      </c>
      <c r="E8" s="301">
        <v>7</v>
      </c>
      <c r="H8" s="8" t="s">
        <v>182</v>
      </c>
      <c r="I8" s="8">
        <v>7</v>
      </c>
    </row>
    <row r="9" spans="1:9">
      <c r="A9" s="58" t="s">
        <v>611</v>
      </c>
      <c r="B9" s="58" t="s">
        <v>184</v>
      </c>
      <c r="C9" s="58" t="s">
        <v>58</v>
      </c>
      <c r="D9" s="58" t="s">
        <v>57</v>
      </c>
      <c r="E9" s="58">
        <v>8</v>
      </c>
    </row>
    <row r="10" spans="1:9">
      <c r="A10" s="58" t="s">
        <v>611</v>
      </c>
      <c r="B10" s="58" t="s">
        <v>184</v>
      </c>
      <c r="C10" s="58" t="s">
        <v>60</v>
      </c>
      <c r="D10" s="58" t="s">
        <v>59</v>
      </c>
      <c r="E10" s="58">
        <v>9</v>
      </c>
    </row>
    <row r="11" spans="1:9">
      <c r="A11" s="58" t="s">
        <v>611</v>
      </c>
      <c r="B11" s="58" t="s">
        <v>184</v>
      </c>
      <c r="C11" s="58" t="s">
        <v>62</v>
      </c>
      <c r="D11" s="58" t="s">
        <v>61</v>
      </c>
      <c r="E11" s="58">
        <v>10</v>
      </c>
    </row>
    <row r="12" spans="1:9">
      <c r="A12" s="71" t="s">
        <v>611</v>
      </c>
      <c r="B12" s="71" t="s">
        <v>183</v>
      </c>
      <c r="C12" s="71" t="s">
        <v>52</v>
      </c>
      <c r="D12" s="71" t="s">
        <v>51</v>
      </c>
      <c r="E12" s="71">
        <v>11</v>
      </c>
    </row>
    <row r="13" spans="1:9">
      <c r="A13" s="71" t="s">
        <v>611</v>
      </c>
      <c r="B13" s="71" t="s">
        <v>183</v>
      </c>
      <c r="C13" s="71" t="s">
        <v>54</v>
      </c>
      <c r="D13" s="71" t="s">
        <v>53</v>
      </c>
      <c r="E13" s="71">
        <v>12</v>
      </c>
    </row>
    <row r="14" spans="1:9">
      <c r="A14" s="71" t="s">
        <v>611</v>
      </c>
      <c r="B14" s="71" t="s">
        <v>183</v>
      </c>
      <c r="C14" s="71" t="s">
        <v>56</v>
      </c>
      <c r="D14" s="71" t="s">
        <v>55</v>
      </c>
      <c r="E14" s="71">
        <v>13</v>
      </c>
    </row>
    <row r="15" spans="1:9">
      <c r="A15" s="71" t="s">
        <v>611</v>
      </c>
      <c r="B15" s="71" t="s">
        <v>183</v>
      </c>
      <c r="C15" s="71" t="s">
        <v>50</v>
      </c>
      <c r="D15" s="71" t="s">
        <v>49</v>
      </c>
      <c r="E15" s="71">
        <v>14</v>
      </c>
    </row>
    <row r="16" spans="1:9">
      <c r="A16" s="83" t="s">
        <v>611</v>
      </c>
      <c r="B16" s="83" t="s">
        <v>185</v>
      </c>
      <c r="C16" s="83" t="s">
        <v>189</v>
      </c>
      <c r="D16" s="83" t="s">
        <v>45</v>
      </c>
      <c r="E16" s="83">
        <v>15</v>
      </c>
    </row>
    <row r="17" spans="1:5">
      <c r="A17" s="83" t="s">
        <v>611</v>
      </c>
      <c r="B17" s="83" t="s">
        <v>185</v>
      </c>
      <c r="C17" s="83" t="s">
        <v>188</v>
      </c>
      <c r="D17" s="83" t="s">
        <v>44</v>
      </c>
      <c r="E17" s="83">
        <v>16</v>
      </c>
    </row>
    <row r="18" spans="1:5">
      <c r="A18" s="83" t="s">
        <v>611</v>
      </c>
      <c r="B18" s="83" t="s">
        <v>185</v>
      </c>
      <c r="C18" s="83" t="s">
        <v>187</v>
      </c>
      <c r="D18" s="83" t="s">
        <v>43</v>
      </c>
      <c r="E18" s="83">
        <v>17</v>
      </c>
    </row>
    <row r="19" spans="1:5">
      <c r="A19" s="83" t="s">
        <v>611</v>
      </c>
      <c r="B19" s="83" t="s">
        <v>185</v>
      </c>
      <c r="C19" s="83" t="s">
        <v>186</v>
      </c>
      <c r="D19" s="83" t="s">
        <v>42</v>
      </c>
      <c r="E19" s="83">
        <v>18</v>
      </c>
    </row>
    <row r="20" spans="1:5">
      <c r="A20" s="302" t="s">
        <v>611</v>
      </c>
      <c r="B20" s="302" t="s">
        <v>179</v>
      </c>
      <c r="C20" s="302" t="s">
        <v>180</v>
      </c>
      <c r="D20" s="302" t="s">
        <v>36</v>
      </c>
      <c r="E20" s="302">
        <v>19</v>
      </c>
    </row>
    <row r="21" spans="1:5">
      <c r="A21" s="302" t="s">
        <v>611</v>
      </c>
      <c r="B21" s="302" t="s">
        <v>179</v>
      </c>
      <c r="C21" s="302" t="s">
        <v>35</v>
      </c>
      <c r="D21" s="302" t="s">
        <v>34</v>
      </c>
      <c r="E21" s="302">
        <v>20</v>
      </c>
    </row>
    <row r="22" spans="1:5">
      <c r="A22" s="302" t="s">
        <v>611</v>
      </c>
      <c r="B22" s="302" t="s">
        <v>179</v>
      </c>
      <c r="C22" s="302" t="s">
        <v>33</v>
      </c>
      <c r="D22" s="302" t="s">
        <v>32</v>
      </c>
      <c r="E22" s="302">
        <v>21</v>
      </c>
    </row>
    <row r="23" spans="1:5">
      <c r="A23" s="302" t="s">
        <v>611</v>
      </c>
      <c r="B23" s="302" t="s">
        <v>179</v>
      </c>
      <c r="C23" s="302" t="s">
        <v>181</v>
      </c>
      <c r="D23" s="302" t="s">
        <v>37</v>
      </c>
      <c r="E23" s="302">
        <v>22</v>
      </c>
    </row>
    <row r="24" spans="1:5">
      <c r="A24" s="303" t="s">
        <v>611</v>
      </c>
      <c r="B24" s="303" t="s">
        <v>182</v>
      </c>
      <c r="C24" s="303" t="s">
        <v>31</v>
      </c>
      <c r="D24" s="303" t="s">
        <v>30</v>
      </c>
      <c r="E24" s="303">
        <v>23</v>
      </c>
    </row>
    <row r="25" spans="1:5">
      <c r="A25" s="303" t="s">
        <v>611</v>
      </c>
      <c r="B25" s="303" t="s">
        <v>182</v>
      </c>
      <c r="C25" s="303" t="s">
        <v>25</v>
      </c>
      <c r="D25" s="303" t="s">
        <v>24</v>
      </c>
      <c r="E25" s="303">
        <v>24</v>
      </c>
    </row>
    <row r="26" spans="1:5">
      <c r="A26" s="303" t="s">
        <v>611</v>
      </c>
      <c r="B26" s="303" t="s">
        <v>182</v>
      </c>
      <c r="C26" s="303" t="s">
        <v>29</v>
      </c>
      <c r="D26" s="303" t="s">
        <v>28</v>
      </c>
      <c r="E26" s="303">
        <v>25</v>
      </c>
    </row>
    <row r="27" spans="1:5">
      <c r="A27" s="303" t="s">
        <v>611</v>
      </c>
      <c r="B27" s="303" t="s">
        <v>182</v>
      </c>
      <c r="C27" s="303" t="s">
        <v>27</v>
      </c>
      <c r="D27" s="303" t="s">
        <v>26</v>
      </c>
      <c r="E27" s="303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CD1953-7BC9-F645-8ECA-F84E93A06C12}">
  <sheetPr codeName="Sheet3"/>
  <dimension ref="B1:AT10"/>
  <sheetViews>
    <sheetView showGridLines="0" zoomScale="170" zoomScaleNormal="170" workbookViewId="0">
      <selection activeCell="B1" sqref="B1:B3"/>
    </sheetView>
  </sheetViews>
  <sheetFormatPr baseColWidth="10" defaultColWidth="11.1640625" defaultRowHeight="15" customHeight="1" outlineLevelCol="1"/>
  <cols>
    <col min="1" max="1" width="3" style="3" customWidth="1"/>
    <col min="2" max="2" width="16.5" style="3" bestFit="1" customWidth="1"/>
    <col min="3" max="12" width="11.1640625" style="3"/>
    <col min="13" max="13" width="3.33203125" style="3" customWidth="1"/>
    <col min="14" max="14" width="16.5" style="3" customWidth="1"/>
    <col min="15" max="15" width="9.33203125" style="3" customWidth="1"/>
    <col min="16" max="16" width="10.5" style="3" customWidth="1"/>
    <col min="17" max="17" width="8.6640625" style="3" customWidth="1"/>
    <col min="18" max="18" width="10.5" style="3" customWidth="1"/>
    <col min="19" max="19" width="9.83203125" style="3" customWidth="1"/>
    <col min="20" max="20" width="10.1640625" style="3" customWidth="1"/>
    <col min="21" max="21" width="8.1640625" style="3" customWidth="1"/>
    <col min="22" max="22" width="9.1640625" style="3" customWidth="1"/>
    <col min="23" max="23" width="8.5" style="3" customWidth="1"/>
    <col min="24" max="24" width="10.33203125" style="3" customWidth="1"/>
    <col min="25" max="25" width="8.5" style="3" customWidth="1"/>
    <col min="26" max="26" width="10.1640625" style="3" customWidth="1"/>
    <col min="27" max="27" width="10.5" style="3" customWidth="1"/>
    <col min="28" max="28" width="4" style="3" customWidth="1"/>
    <col min="29" max="29" width="16.5" style="3" customWidth="1" outlineLevel="1"/>
    <col min="30" max="30" width="9.83203125" style="3" customWidth="1" outlineLevel="1"/>
    <col min="31" max="31" width="11.83203125" style="3" customWidth="1" outlineLevel="1"/>
    <col min="32" max="32" width="11.33203125" style="3" customWidth="1" outlineLevel="1"/>
    <col min="33" max="33" width="10.83203125" style="3" customWidth="1" outlineLevel="1"/>
    <col min="34" max="34" width="10" style="3" customWidth="1" outlineLevel="1"/>
    <col min="35" max="35" width="9.5" style="3" customWidth="1" outlineLevel="1"/>
    <col min="36" max="36" width="9.83203125" style="3" customWidth="1" outlineLevel="1"/>
    <col min="37" max="37" width="5.83203125" style="3" customWidth="1" outlineLevel="1"/>
    <col min="38" max="38" width="16.5" style="3" customWidth="1" outlineLevel="1"/>
    <col min="39" max="42" width="11.1640625" style="3" customWidth="1" outlineLevel="1"/>
    <col min="43" max="43" width="29.6640625" style="3" customWidth="1" outlineLevel="1"/>
    <col min="44" max="44" width="5.1640625" style="3" customWidth="1" outlineLevel="1"/>
    <col min="45" max="45" width="17.5" style="3" customWidth="1" outlineLevel="1"/>
    <col min="46" max="46" width="11.1640625" style="3" customWidth="1" outlineLevel="1"/>
    <col min="47" max="48" width="11.1640625" style="3"/>
    <col min="49" max="49" width="16.5" style="3" bestFit="1" customWidth="1"/>
    <col min="50" max="16384" width="11.1640625" style="3"/>
  </cols>
  <sheetData>
    <row r="1" spans="2:46" ht="15" customHeight="1">
      <c r="B1" s="323" t="s">
        <v>14</v>
      </c>
      <c r="C1" s="323" t="s">
        <v>217</v>
      </c>
      <c r="D1" s="326" t="s">
        <v>543</v>
      </c>
      <c r="E1" s="327"/>
      <c r="F1" s="327"/>
      <c r="G1" s="327"/>
      <c r="H1" s="327"/>
      <c r="I1" s="327"/>
      <c r="J1" s="327"/>
      <c r="K1" s="327"/>
      <c r="L1" s="328"/>
      <c r="N1" s="77"/>
      <c r="O1" s="77"/>
      <c r="P1" s="329" t="s">
        <v>544</v>
      </c>
      <c r="Q1" s="330"/>
      <c r="R1" s="330"/>
      <c r="S1" s="330"/>
      <c r="T1" s="330"/>
      <c r="U1" s="330"/>
      <c r="V1" s="330"/>
      <c r="W1" s="330"/>
      <c r="X1" s="330"/>
      <c r="Y1" s="330"/>
      <c r="Z1" s="330"/>
      <c r="AA1" s="330"/>
    </row>
    <row r="2" spans="2:46" ht="19" customHeight="1">
      <c r="B2" s="324"/>
      <c r="C2" s="324"/>
      <c r="D2" s="331" t="s">
        <v>283</v>
      </c>
      <c r="E2" s="331"/>
      <c r="F2" s="331"/>
      <c r="G2" s="331" t="s">
        <v>10</v>
      </c>
      <c r="H2" s="331"/>
      <c r="I2" s="331"/>
      <c r="J2" s="331" t="s">
        <v>284</v>
      </c>
      <c r="K2" s="331"/>
      <c r="L2" s="331"/>
      <c r="N2" s="335" t="s">
        <v>14</v>
      </c>
      <c r="O2" s="337" t="s">
        <v>217</v>
      </c>
      <c r="P2" s="329" t="s">
        <v>620</v>
      </c>
      <c r="Q2" s="330"/>
      <c r="R2" s="330"/>
      <c r="S2" s="330"/>
      <c r="T2" s="330"/>
      <c r="U2" s="330"/>
      <c r="V2" s="330"/>
      <c r="W2" s="330"/>
      <c r="X2" s="330"/>
      <c r="Y2" s="330"/>
      <c r="Z2" s="330"/>
      <c r="AA2" s="330"/>
      <c r="AC2" s="338" t="s">
        <v>14</v>
      </c>
      <c r="AD2" s="338" t="s">
        <v>217</v>
      </c>
      <c r="AE2" s="332" t="s">
        <v>616</v>
      </c>
      <c r="AF2" s="333"/>
      <c r="AG2" s="333"/>
      <c r="AH2" s="333"/>
      <c r="AI2" s="333"/>
      <c r="AJ2" s="334"/>
      <c r="AL2" s="339" t="s">
        <v>14</v>
      </c>
      <c r="AM2" s="339" t="s">
        <v>217</v>
      </c>
      <c r="AN2" s="341" t="s">
        <v>285</v>
      </c>
      <c r="AO2" s="341"/>
      <c r="AP2" s="341"/>
      <c r="AQ2" s="341" t="s">
        <v>21</v>
      </c>
      <c r="AS2" s="341" t="s">
        <v>340</v>
      </c>
      <c r="AT2" s="341" t="s">
        <v>341</v>
      </c>
    </row>
    <row r="3" spans="2:46" ht="45" customHeight="1">
      <c r="B3" s="325"/>
      <c r="C3" s="325"/>
      <c r="D3" s="78" t="str">
        <f>P2</f>
        <v>LTP 9/21</v>
      </c>
      <c r="E3" s="78" t="str">
        <f>AE2</f>
        <v>LTP 9/14</v>
      </c>
      <c r="F3" s="78" t="s">
        <v>281</v>
      </c>
      <c r="G3" s="80" t="str">
        <f>D3</f>
        <v>LTP 9/21</v>
      </c>
      <c r="H3" s="80" t="str">
        <f>E3</f>
        <v>LTP 9/14</v>
      </c>
      <c r="I3" s="80" t="s">
        <v>269</v>
      </c>
      <c r="J3" s="77" t="str">
        <f>G3</f>
        <v>LTP 9/21</v>
      </c>
      <c r="K3" s="77" t="str">
        <f>H3</f>
        <v>LTP 9/14</v>
      </c>
      <c r="L3" s="77" t="s">
        <v>277</v>
      </c>
      <c r="N3" s="336"/>
      <c r="O3" s="335"/>
      <c r="P3" s="78" t="s">
        <v>280</v>
      </c>
      <c r="Q3" s="78" t="s">
        <v>281</v>
      </c>
      <c r="R3" s="77" t="s">
        <v>270</v>
      </c>
      <c r="S3" s="77" t="s">
        <v>271</v>
      </c>
      <c r="T3" s="77" t="s">
        <v>272</v>
      </c>
      <c r="U3" s="77" t="s">
        <v>273</v>
      </c>
      <c r="V3" s="77" t="s">
        <v>274</v>
      </c>
      <c r="W3" s="77" t="s">
        <v>275</v>
      </c>
      <c r="X3" s="79" t="s">
        <v>10</v>
      </c>
      <c r="Y3" s="80" t="s">
        <v>269</v>
      </c>
      <c r="Z3" s="77" t="s">
        <v>276</v>
      </c>
      <c r="AA3" s="77" t="s">
        <v>277</v>
      </c>
      <c r="AC3" s="335"/>
      <c r="AD3" s="335"/>
      <c r="AE3" s="78" t="s">
        <v>280</v>
      </c>
      <c r="AF3" s="77" t="s">
        <v>230</v>
      </c>
      <c r="AG3" s="77" t="s">
        <v>233</v>
      </c>
      <c r="AH3" s="77" t="s">
        <v>231</v>
      </c>
      <c r="AI3" s="80" t="s">
        <v>10</v>
      </c>
      <c r="AJ3" s="77" t="s">
        <v>232</v>
      </c>
      <c r="AL3" s="340"/>
      <c r="AM3" s="340"/>
      <c r="AN3" s="55" t="str">
        <f>J3</f>
        <v>LTP 9/21</v>
      </c>
      <c r="AO3" s="55" t="str">
        <f t="shared" ref="AO3" si="0">K3</f>
        <v>LTP 9/14</v>
      </c>
      <c r="AP3" s="55" t="s">
        <v>19</v>
      </c>
      <c r="AQ3" s="341"/>
      <c r="AS3" s="341"/>
      <c r="AT3" s="341"/>
    </row>
    <row r="4" spans="2:46" ht="15" customHeight="1">
      <c r="B4" s="73" t="s">
        <v>199</v>
      </c>
      <c r="C4" s="73" t="s">
        <v>238</v>
      </c>
      <c r="D4" s="86">
        <f t="shared" ref="D4:D6" si="1">P4</f>
        <v>46350</v>
      </c>
      <c r="E4" s="86">
        <f t="shared" ref="E4:E6" si="2">AE4</f>
        <v>46350</v>
      </c>
      <c r="F4" s="75">
        <f t="shared" ref="F4:F6" si="3">D4-E4</f>
        <v>0</v>
      </c>
      <c r="G4" s="86">
        <f>X4</f>
        <v>46437</v>
      </c>
      <c r="H4" s="86">
        <f>AI4</f>
        <v>46437</v>
      </c>
      <c r="I4" s="75">
        <f t="shared" ref="I4:I6" si="4">G4-H4</f>
        <v>0</v>
      </c>
      <c r="J4" s="86">
        <f>Z4</f>
        <v>46546</v>
      </c>
      <c r="K4" s="86">
        <f>AJ4</f>
        <v>46546</v>
      </c>
      <c r="L4" s="75">
        <f t="shared" ref="L4:L6" si="5">J4-K4</f>
        <v>0</v>
      </c>
      <c r="N4" s="73" t="s">
        <v>199</v>
      </c>
      <c r="O4" s="73" t="s">
        <v>238</v>
      </c>
      <c r="P4" s="74" cm="1">
        <f t="array" ref="P4">MAX(IF('LTP 21-Sep-26'!A:A='Country End date'!N4,'LTP 21-Sep-26'!K:K))</f>
        <v>46350</v>
      </c>
      <c r="Q4" s="75">
        <f t="shared" ref="Q4:Q6" si="6">IFERROR((P4-AE4),"-")</f>
        <v>0</v>
      </c>
      <c r="R4" s="74" cm="1">
        <f t="array" ref="R4">MIN(IF('LTP 21-Sep-26'!A:A='Country End date'!N4,'LTP 21-Sep-26'!N:N))</f>
        <v>46028</v>
      </c>
      <c r="S4" s="75">
        <f t="shared" ref="S4:S6" si="7">IFERROR((R4-AF4),"-")</f>
        <v>0</v>
      </c>
      <c r="T4" s="74" cm="1">
        <f t="array" ref="T4">MAX(IF('LTP 21-Sep-26'!A:A='Country End date'!N4,'LTP 21-Sep-26'!O:O))</f>
        <v>46372</v>
      </c>
      <c r="U4" s="75">
        <f t="shared" ref="U4:U6" si="8">IFERROR((T4-AG4),"-")</f>
        <v>0</v>
      </c>
      <c r="V4" s="74" cm="1">
        <f t="array" ref="V4">MAX(IF('LTP 21-Sep-26'!A:A='Country End date'!N4,'LTP 21-Sep-26'!Q:Q))</f>
        <v>46403</v>
      </c>
      <c r="W4" s="75">
        <f t="shared" ref="W4:W6" si="9">IFERROR((V4-AH4),"-")</f>
        <v>0</v>
      </c>
      <c r="X4" s="74" cm="1">
        <f t="array" ref="X4">MAX(IF('LTP 21-Sep-26'!A:A='Country End date'!N4,'LTP 21-Sep-26'!R:R))</f>
        <v>46437</v>
      </c>
      <c r="Y4" s="75">
        <f t="shared" ref="Y4:Y6" si="10">IFERROR((X4-AI4),"-")</f>
        <v>0</v>
      </c>
      <c r="Z4" s="74" cm="1">
        <f t="array" ref="Z4">MAX(IF('LTP 21-Sep-26'!A:A='Country End date'!N4,'LTP 21-Sep-26'!U:U))</f>
        <v>46546</v>
      </c>
      <c r="AA4" s="75">
        <f t="shared" ref="AA4:AA6" si="11">IFERROR((Z4-AJ4),"-")</f>
        <v>0</v>
      </c>
      <c r="AC4" s="73" t="s">
        <v>199</v>
      </c>
      <c r="AD4" s="73" t="s">
        <v>238</v>
      </c>
      <c r="AE4" s="74">
        <v>46350</v>
      </c>
      <c r="AF4" s="74">
        <v>46028</v>
      </c>
      <c r="AG4" s="74">
        <v>46372</v>
      </c>
      <c r="AH4" s="74">
        <v>46403</v>
      </c>
      <c r="AI4" s="74">
        <v>46437</v>
      </c>
      <c r="AJ4" s="74">
        <v>46546</v>
      </c>
      <c r="AL4" s="73" t="s">
        <v>199</v>
      </c>
      <c r="AM4" s="73" t="s">
        <v>238</v>
      </c>
      <c r="AN4" s="87">
        <f t="shared" ref="AN4:AO6" si="12">J4</f>
        <v>46546</v>
      </c>
      <c r="AO4" s="87">
        <f t="shared" si="12"/>
        <v>46546</v>
      </c>
      <c r="AP4" s="75">
        <f t="shared" ref="AP4:AP6" si="13">AN4-AO4</f>
        <v>0</v>
      </c>
      <c r="AQ4" s="76" t="s">
        <v>7</v>
      </c>
      <c r="AS4" s="73" t="s">
        <v>199</v>
      </c>
      <c r="AT4" s="184">
        <f t="shared" ref="AT4:AT6" si="14">R4</f>
        <v>46028</v>
      </c>
    </row>
    <row r="5" spans="2:46" ht="15" customHeight="1">
      <c r="B5" s="8" t="s">
        <v>425</v>
      </c>
      <c r="C5" s="8" t="s">
        <v>239</v>
      </c>
      <c r="D5" s="86">
        <f>P5</f>
        <v>46876</v>
      </c>
      <c r="E5" s="86">
        <f>AE5</f>
        <v>46876</v>
      </c>
      <c r="F5" s="75">
        <f>D5-E5</f>
        <v>0</v>
      </c>
      <c r="G5" s="86">
        <f>X5</f>
        <v>46975</v>
      </c>
      <c r="H5" s="86">
        <f>AI5</f>
        <v>46975</v>
      </c>
      <c r="I5" s="75">
        <f>G5-H5</f>
        <v>0</v>
      </c>
      <c r="J5" s="86">
        <f>Z5</f>
        <v>46998</v>
      </c>
      <c r="K5" s="86">
        <f>AJ5</f>
        <v>46998</v>
      </c>
      <c r="L5" s="75">
        <f>J5-K5</f>
        <v>0</v>
      </c>
      <c r="N5" s="8" t="s">
        <v>425</v>
      </c>
      <c r="O5" s="8" t="s">
        <v>239</v>
      </c>
      <c r="P5" s="74" cm="1">
        <f t="array" ref="P5">MAX(IF('LTP 21-Sep-26'!A:A='Country End date'!N5,'LTP 21-Sep-26'!K:K))</f>
        <v>46876</v>
      </c>
      <c r="Q5" s="75">
        <f t="shared" si="6"/>
        <v>0</v>
      </c>
      <c r="R5" s="74" cm="1">
        <f t="array" ref="R5">MIN(IF('LTP 21-Sep-26'!A:A='Country End date'!N5,'LTP 21-Sep-26'!N:N))</f>
        <v>46595</v>
      </c>
      <c r="S5" s="75">
        <f t="shared" si="7"/>
        <v>0</v>
      </c>
      <c r="T5" s="74" cm="1">
        <f t="array" ref="T5">MAX(IF('LTP 21-Sep-26'!A:A='Country End date'!N5,'LTP 21-Sep-26'!O:O))</f>
        <v>46891</v>
      </c>
      <c r="U5" s="75">
        <f>IFERROR((T5-AG5),"-")</f>
        <v>0</v>
      </c>
      <c r="V5" s="74" cm="1">
        <f t="array" ref="V5">MAX(IF('LTP 21-Sep-26'!A:A='Country End date'!N5,'LTP 21-Sep-26'!Q:Q))</f>
        <v>46917</v>
      </c>
      <c r="W5" s="75">
        <f>IFERROR((V5-AH5),"-")</f>
        <v>0</v>
      </c>
      <c r="X5" s="74" cm="1">
        <f t="array" ref="X5">MAX(IF('LTP 21-Sep-26'!A:A='Country End date'!N5,'LTP 21-Sep-26'!R:R))</f>
        <v>46975</v>
      </c>
      <c r="Y5" s="75">
        <f>IFERROR((X5-AI5),"-")</f>
        <v>0</v>
      </c>
      <c r="Z5" s="74" cm="1">
        <f t="array" ref="Z5">MAX(IF('LTP 21-Sep-26'!A:A='Country End date'!N5,'LTP 21-Sep-26'!U:U))</f>
        <v>46998</v>
      </c>
      <c r="AA5" s="75">
        <f>IFERROR((Z5-AJ5),"-")</f>
        <v>0</v>
      </c>
      <c r="AC5" s="8" t="s">
        <v>425</v>
      </c>
      <c r="AD5" s="8" t="s">
        <v>239</v>
      </c>
      <c r="AE5" s="74">
        <v>46876</v>
      </c>
      <c r="AF5" s="74">
        <v>46595</v>
      </c>
      <c r="AG5" s="74">
        <v>46891</v>
      </c>
      <c r="AH5" s="74">
        <v>46917</v>
      </c>
      <c r="AI5" s="74">
        <v>46975</v>
      </c>
      <c r="AJ5" s="74">
        <v>46998</v>
      </c>
      <c r="AL5" s="8" t="s">
        <v>425</v>
      </c>
      <c r="AM5" s="8" t="s">
        <v>239</v>
      </c>
      <c r="AN5" s="87">
        <f>J5</f>
        <v>46998</v>
      </c>
      <c r="AO5" s="87">
        <f>K5</f>
        <v>46998</v>
      </c>
      <c r="AP5" s="75">
        <f>AN5-AO5</f>
        <v>0</v>
      </c>
      <c r="AQ5" s="76" t="s">
        <v>7</v>
      </c>
      <c r="AS5" s="8" t="s">
        <v>425</v>
      </c>
      <c r="AT5" s="87">
        <f>R5</f>
        <v>46595</v>
      </c>
    </row>
    <row r="6" spans="2:46" ht="15" customHeight="1">
      <c r="B6" s="8" t="s">
        <v>424</v>
      </c>
      <c r="C6" s="8" t="s">
        <v>239</v>
      </c>
      <c r="D6" s="86">
        <f t="shared" si="1"/>
        <v>46978</v>
      </c>
      <c r="E6" s="86">
        <f t="shared" si="2"/>
        <v>46978</v>
      </c>
      <c r="F6" s="75">
        <f t="shared" si="3"/>
        <v>0</v>
      </c>
      <c r="G6" s="86">
        <f>X6</f>
        <v>47073</v>
      </c>
      <c r="H6" s="86">
        <f>AI6</f>
        <v>47073</v>
      </c>
      <c r="I6" s="75">
        <f t="shared" si="4"/>
        <v>0</v>
      </c>
      <c r="J6" s="86">
        <f>Z6</f>
        <v>47094</v>
      </c>
      <c r="K6" s="86">
        <f>AJ6</f>
        <v>47094</v>
      </c>
      <c r="L6" s="75">
        <f t="shared" si="5"/>
        <v>0</v>
      </c>
      <c r="N6" s="8" t="s">
        <v>424</v>
      </c>
      <c r="O6" s="8" t="s">
        <v>239</v>
      </c>
      <c r="P6" s="74" cm="1">
        <f t="array" ref="P6">MAX(IF('LTP 21-Sep-26'!A:A='Country End date'!N6,'LTP 21-Sep-26'!K:K))</f>
        <v>46978</v>
      </c>
      <c r="Q6" s="75">
        <f t="shared" si="6"/>
        <v>0</v>
      </c>
      <c r="R6" s="74" cm="1">
        <f t="array" ref="R6">MIN(IF('LTP 21-Sep-26'!A:A='Country End date'!N6,'LTP 21-Sep-26'!N:N))</f>
        <v>46839</v>
      </c>
      <c r="S6" s="75">
        <f t="shared" si="7"/>
        <v>0</v>
      </c>
      <c r="T6" s="74" cm="1">
        <f t="array" ref="T6">MAX(IF('LTP 21-Sep-26'!A:A='Country End date'!N6,'LTP 21-Sep-26'!O:O))</f>
        <v>46987</v>
      </c>
      <c r="U6" s="75">
        <f t="shared" si="8"/>
        <v>0</v>
      </c>
      <c r="V6" s="74" cm="1">
        <f t="array" ref="V6">MAX(IF('LTP 21-Sep-26'!A:A='Country End date'!N6,'LTP 21-Sep-26'!Q:Q))</f>
        <v>47013</v>
      </c>
      <c r="W6" s="75">
        <f t="shared" si="9"/>
        <v>0</v>
      </c>
      <c r="X6" s="74" cm="1">
        <f t="array" ref="X6">MAX(IF('LTP 21-Sep-26'!A:A='Country End date'!N6,'LTP 21-Sep-26'!R:R))</f>
        <v>47073</v>
      </c>
      <c r="Y6" s="75">
        <f t="shared" si="10"/>
        <v>0</v>
      </c>
      <c r="Z6" s="74" cm="1">
        <f t="array" ref="Z6">MAX(IF('LTP 21-Sep-26'!A:A='Country End date'!N6,'LTP 21-Sep-26'!U:U))</f>
        <v>47094</v>
      </c>
      <c r="AA6" s="75">
        <f t="shared" si="11"/>
        <v>0</v>
      </c>
      <c r="AC6" s="8" t="s">
        <v>424</v>
      </c>
      <c r="AD6" s="8" t="s">
        <v>239</v>
      </c>
      <c r="AE6" s="74">
        <v>46978</v>
      </c>
      <c r="AF6" s="74">
        <v>46839</v>
      </c>
      <c r="AG6" s="74">
        <v>46987</v>
      </c>
      <c r="AH6" s="74">
        <v>47013</v>
      </c>
      <c r="AI6" s="74">
        <v>47073</v>
      </c>
      <c r="AJ6" s="74">
        <v>47094</v>
      </c>
      <c r="AL6" s="8" t="s">
        <v>424</v>
      </c>
      <c r="AM6" s="8" t="s">
        <v>239</v>
      </c>
      <c r="AN6" s="87">
        <f t="shared" si="12"/>
        <v>47094</v>
      </c>
      <c r="AO6" s="87">
        <f t="shared" si="12"/>
        <v>47094</v>
      </c>
      <c r="AP6" s="75">
        <f t="shared" si="13"/>
        <v>0</v>
      </c>
      <c r="AQ6" s="76" t="s">
        <v>7</v>
      </c>
      <c r="AS6" s="8" t="s">
        <v>424</v>
      </c>
      <c r="AT6" s="87">
        <f t="shared" si="14"/>
        <v>46839</v>
      </c>
    </row>
    <row r="9" spans="2:46" ht="13"/>
    <row r="10" spans="2:46" ht="13"/>
  </sheetData>
  <mergeCells count="19">
    <mergeCell ref="AM2:AM3"/>
    <mergeCell ref="AL2:AL3"/>
    <mergeCell ref="AS2:AS3"/>
    <mergeCell ref="AT2:AT3"/>
    <mergeCell ref="AN2:AP2"/>
    <mergeCell ref="AQ2:AQ3"/>
    <mergeCell ref="AE2:AJ2"/>
    <mergeCell ref="N2:N3"/>
    <mergeCell ref="O2:O3"/>
    <mergeCell ref="AC2:AC3"/>
    <mergeCell ref="AD2:AD3"/>
    <mergeCell ref="P2:AA2"/>
    <mergeCell ref="B1:B3"/>
    <mergeCell ref="C1:C3"/>
    <mergeCell ref="D1:L1"/>
    <mergeCell ref="P1:AA1"/>
    <mergeCell ref="D2:F2"/>
    <mergeCell ref="G2:I2"/>
    <mergeCell ref="J2:L2"/>
  </mergeCells>
  <conditionalFormatting sqref="P4">
    <cfRule type="expression" dxfId="235" priority="167">
      <formula>P4&lt;AE4</formula>
    </cfRule>
    <cfRule type="expression" dxfId="234" priority="168">
      <formula>P4&gt;AE4</formula>
    </cfRule>
  </conditionalFormatting>
  <conditionalFormatting sqref="R4">
    <cfRule type="expression" dxfId="233" priority="156">
      <formula>R4&lt;AF4</formula>
    </cfRule>
    <cfRule type="expression" dxfId="232" priority="157">
      <formula>R4&gt;AF4</formula>
    </cfRule>
  </conditionalFormatting>
  <conditionalFormatting sqref="T4">
    <cfRule type="expression" dxfId="231" priority="33692">
      <formula>T4&lt;AG4</formula>
    </cfRule>
    <cfRule type="expression" dxfId="230" priority="33693">
      <formula>T4&gt;AG4</formula>
    </cfRule>
  </conditionalFormatting>
  <conditionalFormatting sqref="U4:U5 W4:W5 AA4:AA5 F4:F6 I4:I6 L4:L6 Q4:Q6 S4:S6 Y4:Y6 AP4:AP6">
    <cfRule type="cellIs" dxfId="229" priority="179" operator="greaterThan">
      <formula>0</formula>
    </cfRule>
    <cfRule type="cellIs" dxfId="228" priority="180" operator="lessThan">
      <formula>0</formula>
    </cfRule>
  </conditionalFormatting>
  <conditionalFormatting sqref="V4">
    <cfRule type="expression" dxfId="227" priority="138">
      <formula>V4&lt;AH4</formula>
    </cfRule>
    <cfRule type="expression" dxfId="226" priority="139">
      <formula>V4&gt;AH4</formula>
    </cfRule>
  </conditionalFormatting>
  <conditionalFormatting sqref="X4:X6">
    <cfRule type="expression" dxfId="225" priority="136">
      <formula>X4&lt;AI4</formula>
    </cfRule>
    <cfRule type="expression" dxfId="224" priority="137">
      <formula>X4&gt;AI4</formula>
    </cfRule>
  </conditionalFormatting>
  <conditionalFormatting sqref="Z4">
    <cfRule type="expression" dxfId="223" priority="134">
      <formula>Z4&lt;AJ4</formula>
    </cfRule>
    <cfRule type="expression" dxfId="222" priority="135">
      <formula>Z4&gt;AJ4</formula>
    </cfRule>
  </conditionalFormatting>
  <conditionalFormatting sqref="AU4:AU5">
    <cfRule type="containsText" dxfId="221" priority="213" operator="containsText" text="False">
      <formula>NOT(ISERROR(SEARCH("False",AU4)))</formula>
    </cfRule>
  </conditionalFormatting>
  <pageMargins left="0.7" right="0.7" top="0.75" bottom="0.75" header="0.3" footer="0.3"/>
  <pageSetup paperSize="9" orientation="portrait" horizontalDpi="0" verticalDpi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64" operator="containsText" id="{0DEAD843-3EA8-4C46-B36C-E86E994B100A}">
            <xm:f>NOT(ISERROR(SEARCH("-",Q4)))</xm:f>
            <xm:f>"-"</xm:f>
            <x14:dxf/>
          </x14:cfRule>
          <xm:sqref>Q4:Q6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865011-6FA0-4541-AC58-8CD662B4F6EE}">
  <sheetPr codeName="Sheet1"/>
  <dimension ref="A1:XCV2842"/>
  <sheetViews>
    <sheetView showGridLines="0" zoomScale="140" zoomScaleNormal="140" zoomScaleSheetLayoutView="50" workbookViewId="0">
      <pane xSplit="4" ySplit="2" topLeftCell="G3" activePane="bottomRight" state="frozen"/>
      <selection activeCell="L41" sqref="L41"/>
      <selection pane="topRight" activeCell="L41" sqref="L41"/>
      <selection pane="bottomLeft" activeCell="L41" sqref="L41"/>
      <selection pane="bottomRight" activeCell="A2" sqref="A2"/>
    </sheetView>
  </sheetViews>
  <sheetFormatPr baseColWidth="10" defaultRowHeight="13" outlineLevelCol="1"/>
  <cols>
    <col min="1" max="1" width="10.6640625" style="3" bestFit="1" customWidth="1"/>
    <col min="2" max="2" width="12.33203125" style="3" bestFit="1" customWidth="1"/>
    <col min="3" max="3" width="15.6640625" style="3" bestFit="1" customWidth="1"/>
    <col min="4" max="4" width="27" style="46" bestFit="1" customWidth="1"/>
    <col min="5" max="5" width="11.1640625" style="46" hidden="1" customWidth="1" outlineLevel="1"/>
    <col min="6" max="6" width="10.83203125" style="46" hidden="1" customWidth="1" outlineLevel="1"/>
    <col min="7" max="7" width="11.1640625" style="4" customWidth="1" collapsed="1"/>
    <col min="8" max="15" width="11.1640625" style="4" customWidth="1"/>
    <col min="16" max="16" width="41.1640625" style="46" bestFit="1" customWidth="1"/>
    <col min="17" max="18" width="10.83203125" style="3"/>
    <col min="19" max="19" width="48.6640625" style="3" customWidth="1"/>
    <col min="20" max="20" width="19.1640625" style="3" customWidth="1"/>
    <col min="21" max="21" width="14" style="3" customWidth="1"/>
    <col min="22" max="16384" width="10.83203125" style="3"/>
  </cols>
  <sheetData>
    <row r="1" spans="1:21 16324:16324" ht="16" customHeight="1">
      <c r="A1" s="342"/>
      <c r="B1" s="342"/>
      <c r="C1" s="342"/>
      <c r="D1" s="342"/>
      <c r="E1" s="342"/>
      <c r="F1" s="342"/>
      <c r="G1" s="343" t="s">
        <v>278</v>
      </c>
      <c r="H1" s="343"/>
      <c r="I1" s="343"/>
      <c r="J1" s="344" t="s">
        <v>10</v>
      </c>
      <c r="K1" s="344"/>
      <c r="L1" s="344"/>
      <c r="M1" s="345" t="s">
        <v>13</v>
      </c>
      <c r="N1" s="345"/>
      <c r="O1" s="345"/>
      <c r="P1" s="170"/>
      <c r="S1" s="57" t="s">
        <v>594</v>
      </c>
      <c r="T1" s="71" t="s">
        <v>596</v>
      </c>
      <c r="U1" s="20" t="s">
        <v>255</v>
      </c>
    </row>
    <row r="2" spans="1:21 16324:16324" ht="14">
      <c r="A2" s="163" t="s">
        <v>14</v>
      </c>
      <c r="B2" s="163" t="s">
        <v>8</v>
      </c>
      <c r="C2" s="163" t="s">
        <v>15</v>
      </c>
      <c r="D2" s="163" t="s">
        <v>16</v>
      </c>
      <c r="E2" s="163" t="s">
        <v>17</v>
      </c>
      <c r="F2" s="171" t="s">
        <v>18</v>
      </c>
      <c r="G2" s="164" t="s">
        <v>616</v>
      </c>
      <c r="H2" s="164" t="s">
        <v>620</v>
      </c>
      <c r="I2" s="165" t="s">
        <v>19</v>
      </c>
      <c r="J2" s="166" t="str">
        <f>G2</f>
        <v>LTP 9/14</v>
      </c>
      <c r="K2" s="166" t="str">
        <f>H2</f>
        <v>LTP 9/21</v>
      </c>
      <c r="L2" s="167" t="s">
        <v>19</v>
      </c>
      <c r="M2" s="168" t="str">
        <f>J2</f>
        <v>LTP 9/14</v>
      </c>
      <c r="N2" s="168" t="str">
        <f>K2</f>
        <v>LTP 9/21</v>
      </c>
      <c r="O2" s="169" t="s">
        <v>19</v>
      </c>
      <c r="P2" s="169" t="s">
        <v>21</v>
      </c>
      <c r="S2" s="266" t="s">
        <v>595</v>
      </c>
      <c r="T2" s="46" t="s">
        <v>597</v>
      </c>
      <c r="U2" s="198" t="s">
        <v>598</v>
      </c>
    </row>
    <row r="3" spans="1:21 16324:16324" s="46" customFormat="1">
      <c r="A3" s="8" t="s">
        <v>199</v>
      </c>
      <c r="B3" s="8" t="s">
        <v>256</v>
      </c>
      <c r="C3" s="8" t="s">
        <v>38</v>
      </c>
      <c r="D3" s="8" t="s">
        <v>195</v>
      </c>
      <c r="E3" s="9" t="s">
        <v>20</v>
      </c>
      <c r="F3" s="32">
        <v>34714</v>
      </c>
      <c r="G3" s="20">
        <v>46022</v>
      </c>
      <c r="H3" s="20">
        <v>46022</v>
      </c>
      <c r="I3" s="2">
        <f>IFERROR((H3-G3),"-")</f>
        <v>0</v>
      </c>
      <c r="J3" s="20">
        <v>46193</v>
      </c>
      <c r="K3" s="20">
        <v>46193</v>
      </c>
      <c r="L3" s="2">
        <f>IFERROR((K3-J3),"-")</f>
        <v>0</v>
      </c>
      <c r="M3" s="198">
        <v>46288</v>
      </c>
      <c r="N3" s="198">
        <v>46288</v>
      </c>
      <c r="O3" s="2">
        <f>IFERROR((N3-M3),"-")</f>
        <v>0</v>
      </c>
      <c r="P3" s="2" t="s">
        <v>7</v>
      </c>
      <c r="U3" s="3"/>
      <c r="XCV3" s="3"/>
    </row>
    <row r="4" spans="1:21 16324:16324" s="46" customFormat="1">
      <c r="A4" s="8" t="s">
        <v>199</v>
      </c>
      <c r="B4" s="8" t="s">
        <v>256</v>
      </c>
      <c r="C4" s="8" t="s">
        <v>40</v>
      </c>
      <c r="D4" s="8" t="s">
        <v>196</v>
      </c>
      <c r="E4" s="9" t="s">
        <v>20</v>
      </c>
      <c r="F4" s="32">
        <v>23453</v>
      </c>
      <c r="G4" s="20">
        <v>46029</v>
      </c>
      <c r="H4" s="20">
        <v>46029</v>
      </c>
      <c r="I4" s="2">
        <f>IFERROR((H4-G4),"-")</f>
        <v>0</v>
      </c>
      <c r="J4" s="20">
        <v>46243</v>
      </c>
      <c r="K4" s="20">
        <v>46243</v>
      </c>
      <c r="L4" s="2">
        <f>IFERROR((K4-J4),"-")</f>
        <v>0</v>
      </c>
      <c r="M4" s="198">
        <v>46320</v>
      </c>
      <c r="N4" s="198">
        <v>46320</v>
      </c>
      <c r="O4" s="2">
        <f>IFERROR((N4-M4),"-")</f>
        <v>0</v>
      </c>
      <c r="P4" s="2" t="s">
        <v>7</v>
      </c>
      <c r="U4" s="3"/>
      <c r="XCV4" s="3"/>
    </row>
    <row r="5" spans="1:21 16324:16324" s="46" customFormat="1">
      <c r="A5" s="8" t="s">
        <v>199</v>
      </c>
      <c r="B5" s="8" t="s">
        <v>256</v>
      </c>
      <c r="C5" s="8" t="s">
        <v>41</v>
      </c>
      <c r="D5" s="8" t="s">
        <v>198</v>
      </c>
      <c r="E5" s="9" t="s">
        <v>20</v>
      </c>
      <c r="F5" s="32">
        <v>23151</v>
      </c>
      <c r="G5" s="20">
        <v>46041</v>
      </c>
      <c r="H5" s="20">
        <v>46041</v>
      </c>
      <c r="I5" s="2">
        <f t="shared" ref="I5:I26" si="0">IFERROR((H5-G5),"-")</f>
        <v>0</v>
      </c>
      <c r="J5" s="20">
        <v>46271</v>
      </c>
      <c r="K5" s="20">
        <v>46271</v>
      </c>
      <c r="L5" s="2">
        <f t="shared" ref="L5:L26" si="1">IFERROR((K5-J5),"-")</f>
        <v>0</v>
      </c>
      <c r="M5" s="19">
        <v>46348</v>
      </c>
      <c r="N5" s="19">
        <v>46348</v>
      </c>
      <c r="O5" s="2">
        <f t="shared" ref="O5:O26" si="2">IFERROR((N5-M5),"-")</f>
        <v>0</v>
      </c>
      <c r="P5" s="2" t="s">
        <v>7</v>
      </c>
      <c r="U5" s="3"/>
      <c r="XCV5" s="3"/>
    </row>
    <row r="6" spans="1:21 16324:16324" s="46" customFormat="1">
      <c r="A6" s="8" t="s">
        <v>199</v>
      </c>
      <c r="B6" s="8" t="s">
        <v>256</v>
      </c>
      <c r="C6" s="8" t="s">
        <v>39</v>
      </c>
      <c r="D6" s="8" t="s">
        <v>197</v>
      </c>
      <c r="E6" s="9" t="s">
        <v>20</v>
      </c>
      <c r="F6" s="32">
        <v>26018</v>
      </c>
      <c r="G6" s="20">
        <v>46049</v>
      </c>
      <c r="H6" s="20">
        <v>46049</v>
      </c>
      <c r="I6" s="2">
        <f t="shared" si="0"/>
        <v>0</v>
      </c>
      <c r="J6" s="198">
        <v>46283</v>
      </c>
      <c r="K6" s="20">
        <v>46283</v>
      </c>
      <c r="L6" s="2">
        <f t="shared" si="1"/>
        <v>0</v>
      </c>
      <c r="M6" s="19">
        <v>46353</v>
      </c>
      <c r="N6" s="19">
        <v>46353</v>
      </c>
      <c r="O6" s="2">
        <f t="shared" si="2"/>
        <v>0</v>
      </c>
      <c r="P6" s="2" t="s">
        <v>7</v>
      </c>
      <c r="U6" s="3"/>
      <c r="XCV6" s="3"/>
    </row>
    <row r="7" spans="1:21 16324:16324" s="46" customFormat="1">
      <c r="A7" s="8" t="s">
        <v>199</v>
      </c>
      <c r="B7" s="8" t="s">
        <v>257</v>
      </c>
      <c r="C7" s="57" t="s">
        <v>46</v>
      </c>
      <c r="D7" s="8" t="s">
        <v>191</v>
      </c>
      <c r="E7" s="9" t="s">
        <v>20</v>
      </c>
      <c r="F7" s="32">
        <v>14299</v>
      </c>
      <c r="G7" s="20">
        <v>46051</v>
      </c>
      <c r="H7" s="20">
        <v>46051</v>
      </c>
      <c r="I7" s="2">
        <f t="shared" si="0"/>
        <v>0</v>
      </c>
      <c r="J7" s="20">
        <v>46210</v>
      </c>
      <c r="K7" s="20">
        <v>46210</v>
      </c>
      <c r="L7" s="2">
        <f t="shared" si="1"/>
        <v>0</v>
      </c>
      <c r="M7" s="263">
        <v>46293</v>
      </c>
      <c r="N7" s="263">
        <v>46293</v>
      </c>
      <c r="O7" s="2">
        <f t="shared" si="2"/>
        <v>0</v>
      </c>
      <c r="P7" s="2" t="s">
        <v>7</v>
      </c>
      <c r="U7" s="3"/>
      <c r="XCV7" s="3"/>
    </row>
    <row r="8" spans="1:21 16324:16324" s="46" customFormat="1">
      <c r="A8" s="8" t="s">
        <v>199</v>
      </c>
      <c r="B8" s="8" t="s">
        <v>257</v>
      </c>
      <c r="C8" s="8" t="s">
        <v>47</v>
      </c>
      <c r="D8" s="8" t="s">
        <v>192</v>
      </c>
      <c r="E8" s="9" t="s">
        <v>20</v>
      </c>
      <c r="F8" s="32">
        <v>18163</v>
      </c>
      <c r="G8" s="20">
        <v>46053</v>
      </c>
      <c r="H8" s="20">
        <v>46053</v>
      </c>
      <c r="I8" s="2">
        <f t="shared" si="0"/>
        <v>0</v>
      </c>
      <c r="J8" s="20">
        <v>46215</v>
      </c>
      <c r="K8" s="20">
        <v>46215</v>
      </c>
      <c r="L8" s="2">
        <f>IFERROR((K8-J8),"-")</f>
        <v>0</v>
      </c>
      <c r="M8" s="263">
        <v>46307</v>
      </c>
      <c r="N8" s="263">
        <v>46307</v>
      </c>
      <c r="O8" s="2">
        <f t="shared" si="2"/>
        <v>0</v>
      </c>
      <c r="P8" s="2" t="s">
        <v>7</v>
      </c>
      <c r="U8" s="3"/>
      <c r="XCV8" s="3"/>
    </row>
    <row r="9" spans="1:21 16324:16324" s="46" customFormat="1">
      <c r="A9" s="8" t="s">
        <v>199</v>
      </c>
      <c r="B9" s="8" t="s">
        <v>257</v>
      </c>
      <c r="C9" s="8" t="s">
        <v>48</v>
      </c>
      <c r="D9" s="8" t="s">
        <v>193</v>
      </c>
      <c r="E9" s="9" t="s">
        <v>20</v>
      </c>
      <c r="F9" s="32">
        <v>7469</v>
      </c>
      <c r="G9" s="20">
        <v>46059</v>
      </c>
      <c r="H9" s="20">
        <v>46059</v>
      </c>
      <c r="I9" s="2">
        <f t="shared" si="0"/>
        <v>0</v>
      </c>
      <c r="J9" s="20">
        <v>46224</v>
      </c>
      <c r="K9" s="20">
        <v>46224</v>
      </c>
      <c r="L9" s="2">
        <f t="shared" si="1"/>
        <v>0</v>
      </c>
      <c r="M9" s="263">
        <v>46301</v>
      </c>
      <c r="N9" s="263">
        <v>46301</v>
      </c>
      <c r="O9" s="2">
        <f t="shared" si="2"/>
        <v>0</v>
      </c>
      <c r="P9" s="2" t="s">
        <v>7</v>
      </c>
      <c r="U9" s="3"/>
      <c r="XCV9" s="3"/>
    </row>
    <row r="10" spans="1:21 16324:16324" s="46" customFormat="1">
      <c r="A10" s="8" t="s">
        <v>199</v>
      </c>
      <c r="B10" s="8" t="s">
        <v>258</v>
      </c>
      <c r="C10" s="8" t="s">
        <v>57</v>
      </c>
      <c r="D10" s="71" t="s">
        <v>58</v>
      </c>
      <c r="E10" s="9" t="s">
        <v>20</v>
      </c>
      <c r="F10" s="32">
        <v>23933</v>
      </c>
      <c r="G10" s="20">
        <v>46075</v>
      </c>
      <c r="H10" s="20">
        <v>46075</v>
      </c>
      <c r="I10" s="2">
        <f t="shared" si="0"/>
        <v>0</v>
      </c>
      <c r="J10" s="198">
        <v>46299</v>
      </c>
      <c r="K10" s="198">
        <v>46299</v>
      </c>
      <c r="L10" s="2">
        <f t="shared" si="1"/>
        <v>0</v>
      </c>
      <c r="M10" s="233">
        <v>46369</v>
      </c>
      <c r="N10" s="233">
        <v>46369</v>
      </c>
      <c r="O10" s="2">
        <f t="shared" si="2"/>
        <v>0</v>
      </c>
      <c r="P10" s="2" t="s">
        <v>7</v>
      </c>
      <c r="U10" s="3"/>
      <c r="XCV10" s="3"/>
    </row>
    <row r="11" spans="1:21 16324:16324" s="46" customFormat="1">
      <c r="A11" s="8" t="s">
        <v>199</v>
      </c>
      <c r="B11" s="8" t="s">
        <v>258</v>
      </c>
      <c r="C11" s="266" t="s">
        <v>59</v>
      </c>
      <c r="D11" s="71" t="s">
        <v>60</v>
      </c>
      <c r="E11" s="9" t="s">
        <v>20</v>
      </c>
      <c r="F11" s="32">
        <v>22668</v>
      </c>
      <c r="G11" s="20">
        <v>46091</v>
      </c>
      <c r="H11" s="20">
        <v>46091</v>
      </c>
      <c r="I11" s="2">
        <f t="shared" si="0"/>
        <v>0</v>
      </c>
      <c r="J11" s="19">
        <v>46307</v>
      </c>
      <c r="K11" s="19">
        <v>46307</v>
      </c>
      <c r="L11" s="2">
        <f t="shared" si="1"/>
        <v>0</v>
      </c>
      <c r="M11" s="19">
        <v>46378</v>
      </c>
      <c r="N11" s="19">
        <v>46378</v>
      </c>
      <c r="O11" s="2">
        <f t="shared" si="2"/>
        <v>0</v>
      </c>
      <c r="P11" s="2" t="s">
        <v>7</v>
      </c>
      <c r="U11" s="3"/>
      <c r="XCV11" s="3"/>
    </row>
    <row r="12" spans="1:21 16324:16324" s="50" customFormat="1">
      <c r="A12" s="8" t="s">
        <v>199</v>
      </c>
      <c r="B12" s="8" t="s">
        <v>258</v>
      </c>
      <c r="C12" s="266" t="s">
        <v>61</v>
      </c>
      <c r="D12" s="8" t="s">
        <v>62</v>
      </c>
      <c r="E12" s="9" t="s">
        <v>20</v>
      </c>
      <c r="F12" s="32">
        <v>14335</v>
      </c>
      <c r="G12" s="20">
        <v>46114</v>
      </c>
      <c r="H12" s="20">
        <v>46114</v>
      </c>
      <c r="I12" s="2">
        <f t="shared" si="0"/>
        <v>0</v>
      </c>
      <c r="J12" s="19">
        <v>46316</v>
      </c>
      <c r="K12" s="19">
        <v>46316</v>
      </c>
      <c r="L12" s="2">
        <f t="shared" si="1"/>
        <v>0</v>
      </c>
      <c r="M12" s="19">
        <v>46384</v>
      </c>
      <c r="N12" s="19">
        <v>46384</v>
      </c>
      <c r="O12" s="2">
        <f t="shared" si="2"/>
        <v>0</v>
      </c>
      <c r="P12" s="2" t="s">
        <v>7</v>
      </c>
      <c r="Q12" s="46"/>
      <c r="U12" s="3"/>
      <c r="XCV12" s="146"/>
    </row>
    <row r="13" spans="1:21 16324:16324" s="46" customFormat="1">
      <c r="A13" s="8" t="s">
        <v>199</v>
      </c>
      <c r="B13" s="8" t="s">
        <v>259</v>
      </c>
      <c r="C13" s="266" t="s">
        <v>51</v>
      </c>
      <c r="D13" s="72" t="s">
        <v>52</v>
      </c>
      <c r="E13" s="9" t="s">
        <v>20</v>
      </c>
      <c r="F13" s="32">
        <v>11777</v>
      </c>
      <c r="G13" s="20">
        <v>46104</v>
      </c>
      <c r="H13" s="20">
        <v>46104</v>
      </c>
      <c r="I13" s="2">
        <f t="shared" si="0"/>
        <v>0</v>
      </c>
      <c r="J13" s="19">
        <v>46320</v>
      </c>
      <c r="K13" s="19">
        <v>46320</v>
      </c>
      <c r="L13" s="2">
        <f t="shared" si="1"/>
        <v>0</v>
      </c>
      <c r="M13" s="19">
        <v>46389</v>
      </c>
      <c r="N13" s="19">
        <v>46389</v>
      </c>
      <c r="O13" s="2">
        <f t="shared" si="2"/>
        <v>0</v>
      </c>
      <c r="P13" s="2" t="s">
        <v>7</v>
      </c>
      <c r="U13" s="3"/>
      <c r="XCV13" s="3"/>
    </row>
    <row r="14" spans="1:21 16324:16324" s="46" customFormat="1">
      <c r="A14" s="8" t="s">
        <v>199</v>
      </c>
      <c r="B14" s="8" t="s">
        <v>259</v>
      </c>
      <c r="C14" s="266" t="s">
        <v>53</v>
      </c>
      <c r="D14" s="71" t="s">
        <v>54</v>
      </c>
      <c r="E14" s="9" t="s">
        <v>20</v>
      </c>
      <c r="F14" s="32">
        <v>8173</v>
      </c>
      <c r="G14" s="20">
        <v>46105</v>
      </c>
      <c r="H14" s="20">
        <v>46105</v>
      </c>
      <c r="I14" s="2">
        <f t="shared" si="0"/>
        <v>0</v>
      </c>
      <c r="J14" s="19">
        <v>46323</v>
      </c>
      <c r="K14" s="19">
        <v>46323</v>
      </c>
      <c r="L14" s="2">
        <f t="shared" si="1"/>
        <v>0</v>
      </c>
      <c r="M14" s="19">
        <v>46392</v>
      </c>
      <c r="N14" s="19">
        <v>46392</v>
      </c>
      <c r="O14" s="2">
        <f t="shared" si="2"/>
        <v>0</v>
      </c>
      <c r="P14" s="2" t="s">
        <v>7</v>
      </c>
      <c r="U14" s="3"/>
      <c r="XCV14" s="3"/>
    </row>
    <row r="15" spans="1:21 16324:16324" s="46" customFormat="1">
      <c r="A15" s="8" t="s">
        <v>199</v>
      </c>
      <c r="B15" s="8" t="s">
        <v>259</v>
      </c>
      <c r="C15" s="266" t="s">
        <v>55</v>
      </c>
      <c r="D15" s="71" t="s">
        <v>56</v>
      </c>
      <c r="E15" s="9" t="s">
        <v>20</v>
      </c>
      <c r="F15" s="32">
        <v>15472</v>
      </c>
      <c r="G15" s="20">
        <v>46135</v>
      </c>
      <c r="H15" s="20">
        <v>46135</v>
      </c>
      <c r="I15" s="2">
        <f t="shared" si="0"/>
        <v>0</v>
      </c>
      <c r="J15" s="19">
        <v>46333</v>
      </c>
      <c r="K15" s="19">
        <v>46333</v>
      </c>
      <c r="L15" s="2">
        <f t="shared" si="1"/>
        <v>0</v>
      </c>
      <c r="M15" s="19">
        <v>46400</v>
      </c>
      <c r="N15" s="19">
        <v>46400</v>
      </c>
      <c r="O15" s="2">
        <f t="shared" si="2"/>
        <v>0</v>
      </c>
      <c r="P15" s="2" t="s">
        <v>7</v>
      </c>
      <c r="U15" s="3"/>
      <c r="XCV15" s="3"/>
    </row>
    <row r="16" spans="1:21 16324:16324" s="46" customFormat="1">
      <c r="A16" s="8" t="s">
        <v>199</v>
      </c>
      <c r="B16" s="8" t="s">
        <v>259</v>
      </c>
      <c r="C16" s="266" t="s">
        <v>49</v>
      </c>
      <c r="D16" s="72" t="s">
        <v>50</v>
      </c>
      <c r="E16" s="9" t="s">
        <v>20</v>
      </c>
      <c r="F16" s="64">
        <v>6544</v>
      </c>
      <c r="G16" s="20">
        <v>46148</v>
      </c>
      <c r="H16" s="20">
        <v>46148</v>
      </c>
      <c r="I16" s="2">
        <f t="shared" si="0"/>
        <v>0</v>
      </c>
      <c r="J16" s="19">
        <v>46338</v>
      </c>
      <c r="K16" s="19">
        <v>46338</v>
      </c>
      <c r="L16" s="2">
        <f t="shared" si="1"/>
        <v>0</v>
      </c>
      <c r="M16" s="19">
        <v>46408</v>
      </c>
      <c r="N16" s="19">
        <v>46408</v>
      </c>
      <c r="O16" s="2">
        <f t="shared" si="2"/>
        <v>0</v>
      </c>
      <c r="P16" s="2" t="s">
        <v>7</v>
      </c>
      <c r="U16" s="3"/>
      <c r="XCV16" s="3"/>
    </row>
    <row r="17" spans="1:21 16324:16324" s="46" customFormat="1">
      <c r="A17" s="8" t="s">
        <v>199</v>
      </c>
      <c r="B17" s="8" t="s">
        <v>260</v>
      </c>
      <c r="C17" s="8" t="s">
        <v>45</v>
      </c>
      <c r="D17" s="8" t="s">
        <v>189</v>
      </c>
      <c r="E17" s="9" t="s">
        <v>20</v>
      </c>
      <c r="F17" s="32">
        <v>24034</v>
      </c>
      <c r="G17" s="20">
        <v>46098</v>
      </c>
      <c r="H17" s="20">
        <v>46098</v>
      </c>
      <c r="I17" s="2">
        <f t="shared" si="0"/>
        <v>0</v>
      </c>
      <c r="J17" s="19">
        <v>46354</v>
      </c>
      <c r="K17" s="19">
        <v>46354</v>
      </c>
      <c r="L17" s="2">
        <f t="shared" si="1"/>
        <v>0</v>
      </c>
      <c r="M17" s="19">
        <v>46446</v>
      </c>
      <c r="N17" s="19">
        <v>46446</v>
      </c>
      <c r="O17" s="2">
        <f t="shared" si="2"/>
        <v>0</v>
      </c>
      <c r="P17" s="2" t="s">
        <v>7</v>
      </c>
      <c r="U17" s="3"/>
      <c r="XCV17" s="3"/>
    </row>
    <row r="18" spans="1:21 16324:16324" s="46" customFormat="1">
      <c r="A18" s="8" t="s">
        <v>199</v>
      </c>
      <c r="B18" s="8" t="s">
        <v>260</v>
      </c>
      <c r="C18" s="266" t="s">
        <v>44</v>
      </c>
      <c r="D18" s="8" t="s">
        <v>188</v>
      </c>
      <c r="E18" s="9" t="s">
        <v>20</v>
      </c>
      <c r="F18" s="32">
        <v>18327</v>
      </c>
      <c r="G18" s="20">
        <v>46155</v>
      </c>
      <c r="H18" s="20">
        <v>46155</v>
      </c>
      <c r="I18" s="2">
        <f t="shared" si="0"/>
        <v>0</v>
      </c>
      <c r="J18" s="19">
        <v>46369</v>
      </c>
      <c r="K18" s="19">
        <v>46369</v>
      </c>
      <c r="L18" s="2">
        <f t="shared" si="1"/>
        <v>0</v>
      </c>
      <c r="M18" s="19">
        <v>46471</v>
      </c>
      <c r="N18" s="19">
        <v>46471</v>
      </c>
      <c r="O18" s="2">
        <f t="shared" si="2"/>
        <v>0</v>
      </c>
      <c r="P18" s="2" t="s">
        <v>7</v>
      </c>
      <c r="U18" s="3"/>
      <c r="XCV18" s="3"/>
    </row>
    <row r="19" spans="1:21 16324:16324" s="46" customFormat="1">
      <c r="A19" s="8" t="s">
        <v>199</v>
      </c>
      <c r="B19" s="8" t="s">
        <v>260</v>
      </c>
      <c r="C19" s="8" t="s">
        <v>43</v>
      </c>
      <c r="D19" s="71" t="s">
        <v>187</v>
      </c>
      <c r="E19" s="9" t="s">
        <v>20</v>
      </c>
      <c r="F19" s="32">
        <v>27365</v>
      </c>
      <c r="G19" s="49">
        <v>46201</v>
      </c>
      <c r="H19" s="49">
        <v>46201</v>
      </c>
      <c r="I19" s="2">
        <f t="shared" si="0"/>
        <v>0</v>
      </c>
      <c r="J19" s="19">
        <v>46383</v>
      </c>
      <c r="K19" s="19">
        <v>46383</v>
      </c>
      <c r="L19" s="2">
        <f t="shared" si="1"/>
        <v>0</v>
      </c>
      <c r="M19" s="19">
        <v>46484</v>
      </c>
      <c r="N19" s="19">
        <v>46484</v>
      </c>
      <c r="O19" s="2">
        <f t="shared" si="2"/>
        <v>0</v>
      </c>
      <c r="P19" s="2" t="s">
        <v>7</v>
      </c>
      <c r="U19" s="3"/>
      <c r="XCV19" s="3"/>
    </row>
    <row r="20" spans="1:21 16324:16324" s="46" customFormat="1">
      <c r="A20" s="8" t="s">
        <v>199</v>
      </c>
      <c r="B20" s="8" t="s">
        <v>260</v>
      </c>
      <c r="C20" s="8" t="s">
        <v>42</v>
      </c>
      <c r="D20" s="72" t="s">
        <v>186</v>
      </c>
      <c r="E20" s="9" t="s">
        <v>20</v>
      </c>
      <c r="F20" s="64">
        <v>8952</v>
      </c>
      <c r="G20" s="49">
        <v>46212</v>
      </c>
      <c r="H20" s="49">
        <v>46212</v>
      </c>
      <c r="I20" s="2">
        <f t="shared" si="0"/>
        <v>0</v>
      </c>
      <c r="J20" s="19">
        <v>46389</v>
      </c>
      <c r="K20" s="19">
        <v>46389</v>
      </c>
      <c r="L20" s="2">
        <f t="shared" si="1"/>
        <v>0</v>
      </c>
      <c r="M20" s="19">
        <v>46494</v>
      </c>
      <c r="N20" s="19">
        <v>46494</v>
      </c>
      <c r="O20" s="2">
        <f t="shared" si="2"/>
        <v>0</v>
      </c>
      <c r="P20" s="2" t="s">
        <v>7</v>
      </c>
      <c r="U20" s="3"/>
      <c r="XCV20" s="3"/>
    </row>
    <row r="21" spans="1:21 16324:16324" s="46" customFormat="1">
      <c r="A21" s="8" t="s">
        <v>199</v>
      </c>
      <c r="B21" s="8" t="s">
        <v>261</v>
      </c>
      <c r="C21" s="8" t="s">
        <v>36</v>
      </c>
      <c r="D21" s="9" t="s">
        <v>180</v>
      </c>
      <c r="E21" s="9" t="s">
        <v>20</v>
      </c>
      <c r="F21" s="64">
        <v>28875</v>
      </c>
      <c r="G21" s="262">
        <v>46312</v>
      </c>
      <c r="H21" s="262">
        <v>46312</v>
      </c>
      <c r="I21" s="2">
        <f t="shared" si="0"/>
        <v>0</v>
      </c>
      <c r="J21" s="19">
        <v>46404</v>
      </c>
      <c r="K21" s="19">
        <v>46404</v>
      </c>
      <c r="L21" s="2">
        <f t="shared" si="1"/>
        <v>0</v>
      </c>
      <c r="M21" s="19">
        <v>46510</v>
      </c>
      <c r="N21" s="19">
        <v>46510</v>
      </c>
      <c r="O21" s="2">
        <f t="shared" si="2"/>
        <v>0</v>
      </c>
      <c r="P21" s="2" t="s">
        <v>7</v>
      </c>
      <c r="U21" s="3"/>
      <c r="XCV21" s="3"/>
    </row>
    <row r="22" spans="1:21 16324:16324" s="46" customFormat="1">
      <c r="A22" s="8" t="s">
        <v>199</v>
      </c>
      <c r="B22" s="8" t="s">
        <v>261</v>
      </c>
      <c r="C22" s="8" t="s">
        <v>34</v>
      </c>
      <c r="D22" s="72" t="s">
        <v>35</v>
      </c>
      <c r="E22" s="9" t="s">
        <v>20</v>
      </c>
      <c r="F22" s="64">
        <v>24358</v>
      </c>
      <c r="G22" s="49">
        <v>46233</v>
      </c>
      <c r="H22" s="49">
        <v>46233</v>
      </c>
      <c r="I22" s="2">
        <f t="shared" si="0"/>
        <v>0</v>
      </c>
      <c r="J22" s="19">
        <v>46414</v>
      </c>
      <c r="K22" s="19">
        <v>46414</v>
      </c>
      <c r="L22" s="2">
        <f t="shared" si="1"/>
        <v>0</v>
      </c>
      <c r="M22" s="19">
        <v>46519</v>
      </c>
      <c r="N22" s="19">
        <v>46519</v>
      </c>
      <c r="O22" s="2">
        <f t="shared" si="2"/>
        <v>0</v>
      </c>
      <c r="P22" s="2" t="s">
        <v>7</v>
      </c>
      <c r="U22" s="3"/>
      <c r="XCV22" s="3"/>
    </row>
    <row r="23" spans="1:21 16324:16324" s="46" customFormat="1">
      <c r="A23" s="8" t="s">
        <v>199</v>
      </c>
      <c r="B23" s="8" t="s">
        <v>261</v>
      </c>
      <c r="C23" s="8" t="s">
        <v>32</v>
      </c>
      <c r="D23" s="9" t="s">
        <v>33</v>
      </c>
      <c r="E23" s="9" t="s">
        <v>20</v>
      </c>
      <c r="F23" s="64">
        <v>12741</v>
      </c>
      <c r="G23" s="49">
        <v>46245</v>
      </c>
      <c r="H23" s="49">
        <v>46245</v>
      </c>
      <c r="I23" s="2">
        <f t="shared" si="0"/>
        <v>0</v>
      </c>
      <c r="J23" s="19">
        <v>46419</v>
      </c>
      <c r="K23" s="19">
        <v>46419</v>
      </c>
      <c r="L23" s="2">
        <f t="shared" si="1"/>
        <v>0</v>
      </c>
      <c r="M23" s="19">
        <v>46524</v>
      </c>
      <c r="N23" s="19">
        <v>46524</v>
      </c>
      <c r="O23" s="2">
        <f t="shared" si="2"/>
        <v>0</v>
      </c>
      <c r="P23" s="2" t="s">
        <v>7</v>
      </c>
      <c r="U23" s="3"/>
      <c r="XCV23" s="3"/>
    </row>
    <row r="24" spans="1:21 16324:16324" s="46" customFormat="1">
      <c r="A24" s="8" t="s">
        <v>199</v>
      </c>
      <c r="B24" s="8" t="s">
        <v>261</v>
      </c>
      <c r="C24" s="8" t="s">
        <v>37</v>
      </c>
      <c r="D24" s="72" t="s">
        <v>181</v>
      </c>
      <c r="E24" s="9" t="s">
        <v>20</v>
      </c>
      <c r="F24" s="64">
        <v>16540</v>
      </c>
      <c r="G24" s="145">
        <v>46350</v>
      </c>
      <c r="H24" s="145">
        <v>46350</v>
      </c>
      <c r="I24" s="2">
        <f t="shared" si="0"/>
        <v>0</v>
      </c>
      <c r="J24" s="19">
        <v>46427</v>
      </c>
      <c r="K24" s="19">
        <v>46427</v>
      </c>
      <c r="L24" s="2">
        <f t="shared" si="1"/>
        <v>0</v>
      </c>
      <c r="M24" s="19">
        <v>46532</v>
      </c>
      <c r="N24" s="19">
        <v>46532</v>
      </c>
      <c r="O24" s="2">
        <f t="shared" si="2"/>
        <v>0</v>
      </c>
      <c r="P24" s="2" t="s">
        <v>7</v>
      </c>
      <c r="U24" s="3"/>
      <c r="XCV24" s="3"/>
    </row>
    <row r="25" spans="1:21 16324:16324" s="46" customFormat="1">
      <c r="A25" s="8" t="s">
        <v>199</v>
      </c>
      <c r="B25" s="8" t="s">
        <v>262</v>
      </c>
      <c r="C25" s="8" t="s">
        <v>30</v>
      </c>
      <c r="D25" s="9" t="s">
        <v>31</v>
      </c>
      <c r="E25" s="9" t="s">
        <v>20</v>
      </c>
      <c r="F25" s="64">
        <v>13464</v>
      </c>
      <c r="G25" s="49">
        <v>46253</v>
      </c>
      <c r="H25" s="49">
        <v>46253</v>
      </c>
      <c r="I25" s="2">
        <f t="shared" si="0"/>
        <v>0</v>
      </c>
      <c r="J25" s="19">
        <v>46434</v>
      </c>
      <c r="K25" s="19">
        <v>46434</v>
      </c>
      <c r="L25" s="2">
        <f t="shared" si="1"/>
        <v>0</v>
      </c>
      <c r="M25" s="19">
        <v>46538</v>
      </c>
      <c r="N25" s="19">
        <v>46538</v>
      </c>
      <c r="O25" s="2">
        <f t="shared" si="2"/>
        <v>0</v>
      </c>
      <c r="P25" s="2" t="s">
        <v>7</v>
      </c>
      <c r="U25" s="3"/>
      <c r="XCV25" s="3"/>
    </row>
    <row r="26" spans="1:21 16324:16324" s="46" customFormat="1">
      <c r="A26" s="8" t="s">
        <v>199</v>
      </c>
      <c r="B26" s="8" t="s">
        <v>262</v>
      </c>
      <c r="C26" s="8" t="s">
        <v>24</v>
      </c>
      <c r="D26" s="72" t="s">
        <v>25</v>
      </c>
      <c r="E26" s="9" t="s">
        <v>20</v>
      </c>
      <c r="F26" s="64">
        <v>5848</v>
      </c>
      <c r="G26" s="49">
        <v>46259</v>
      </c>
      <c r="H26" s="49">
        <v>46259</v>
      </c>
      <c r="I26" s="2">
        <f t="shared" si="0"/>
        <v>0</v>
      </c>
      <c r="J26" s="19">
        <v>46435</v>
      </c>
      <c r="K26" s="19">
        <v>46435</v>
      </c>
      <c r="L26" s="2">
        <f t="shared" si="1"/>
        <v>0</v>
      </c>
      <c r="M26" s="19">
        <v>46542</v>
      </c>
      <c r="N26" s="19">
        <v>46542</v>
      </c>
      <c r="O26" s="2">
        <f t="shared" si="2"/>
        <v>0</v>
      </c>
      <c r="P26" s="2" t="s">
        <v>7</v>
      </c>
      <c r="U26" s="3"/>
      <c r="XCV26" s="3"/>
    </row>
    <row r="27" spans="1:21 16324:16324" s="46" customFormat="1">
      <c r="A27" s="8" t="s">
        <v>199</v>
      </c>
      <c r="B27" s="8" t="s">
        <v>262</v>
      </c>
      <c r="C27" s="8" t="s">
        <v>28</v>
      </c>
      <c r="D27" s="72" t="s">
        <v>29</v>
      </c>
      <c r="E27" s="9" t="s">
        <v>20</v>
      </c>
      <c r="F27" s="64">
        <v>8948</v>
      </c>
      <c r="G27" s="49">
        <v>46272</v>
      </c>
      <c r="H27" s="49">
        <v>46272</v>
      </c>
      <c r="I27" s="2">
        <f>IFERROR((H27-G27),"-")</f>
        <v>0</v>
      </c>
      <c r="J27" s="19">
        <v>46437</v>
      </c>
      <c r="K27" s="19">
        <v>46437</v>
      </c>
      <c r="L27" s="2">
        <f>IFERROR((K27-J27),"-")</f>
        <v>0</v>
      </c>
      <c r="M27" s="19">
        <v>46544</v>
      </c>
      <c r="N27" s="19">
        <v>46544</v>
      </c>
      <c r="O27" s="2">
        <f>IFERROR((N27-M27),"-")</f>
        <v>0</v>
      </c>
      <c r="P27" s="2" t="s">
        <v>7</v>
      </c>
      <c r="U27" s="3"/>
      <c r="XCV27" s="3"/>
    </row>
    <row r="28" spans="1:21 16324:16324" s="46" customFormat="1" ht="14">
      <c r="A28" s="8" t="s">
        <v>199</v>
      </c>
      <c r="B28" s="8" t="s">
        <v>262</v>
      </c>
      <c r="C28" s="8" t="s">
        <v>26</v>
      </c>
      <c r="D28" s="9" t="s">
        <v>27</v>
      </c>
      <c r="E28" s="9" t="s">
        <v>20</v>
      </c>
      <c r="F28" s="64">
        <v>13424</v>
      </c>
      <c r="G28" s="49">
        <v>46276</v>
      </c>
      <c r="H28" s="49">
        <v>46276</v>
      </c>
      <c r="I28" s="2">
        <f>IFERROR((H28-G28),"-")</f>
        <v>0</v>
      </c>
      <c r="J28" s="145">
        <v>46437</v>
      </c>
      <c r="K28" s="145">
        <v>46437</v>
      </c>
      <c r="L28" s="2">
        <f>IFERROR((K28-J28),"-")</f>
        <v>0</v>
      </c>
      <c r="M28" s="145">
        <v>46546</v>
      </c>
      <c r="N28" s="145">
        <v>46546</v>
      </c>
      <c r="O28" s="2">
        <f>IFERROR((N28-M28),"-")</f>
        <v>0</v>
      </c>
      <c r="P28" s="136" t="s">
        <v>542</v>
      </c>
      <c r="U28" s="3"/>
      <c r="XCV28" s="3"/>
    </row>
    <row r="29" spans="1:21 16324:16324" s="46" customFormat="1">
      <c r="A29" s="8" t="s">
        <v>425</v>
      </c>
      <c r="B29" s="8" t="s">
        <v>429</v>
      </c>
      <c r="C29" s="8" t="s">
        <v>472</v>
      </c>
      <c r="D29" s="8" t="s">
        <v>473</v>
      </c>
      <c r="E29" s="9" t="s">
        <v>221</v>
      </c>
      <c r="F29" s="64">
        <v>7632.6118910981922</v>
      </c>
      <c r="G29" s="19">
        <v>46594</v>
      </c>
      <c r="H29" s="19">
        <v>46594</v>
      </c>
      <c r="I29" s="2">
        <f t="shared" ref="I29" si="3">IFERROR((H29-G29),"-")</f>
        <v>0</v>
      </c>
      <c r="J29" s="19">
        <v>46719</v>
      </c>
      <c r="K29" s="19">
        <v>46719</v>
      </c>
      <c r="L29" s="2">
        <f t="shared" ref="L29" si="4">IFERROR((K29-J29),"-")</f>
        <v>0</v>
      </c>
      <c r="M29" s="19">
        <v>46735</v>
      </c>
      <c r="N29" s="19">
        <v>46735</v>
      </c>
      <c r="O29" s="2">
        <f t="shared" ref="O29" si="5">IFERROR((N29-M29),"-")</f>
        <v>0</v>
      </c>
      <c r="P29" s="2" t="s">
        <v>7</v>
      </c>
      <c r="U29" s="3"/>
    </row>
    <row r="30" spans="1:21 16324:16324" s="46" customFormat="1">
      <c r="A30" s="8" t="s">
        <v>425</v>
      </c>
      <c r="B30" s="8" t="s">
        <v>429</v>
      </c>
      <c r="C30" s="8" t="s">
        <v>474</v>
      </c>
      <c r="D30" s="8" t="s">
        <v>475</v>
      </c>
      <c r="E30" s="9" t="s">
        <v>221</v>
      </c>
      <c r="F30" s="64">
        <v>11419.855856456121</v>
      </c>
      <c r="G30" s="19">
        <v>46627</v>
      </c>
      <c r="H30" s="19">
        <v>46627</v>
      </c>
      <c r="I30" s="2">
        <f t="shared" ref="I30:I54" si="6">IFERROR((H30-G30),"-")</f>
        <v>0</v>
      </c>
      <c r="J30" s="19">
        <v>46739</v>
      </c>
      <c r="K30" s="19">
        <v>46739</v>
      </c>
      <c r="L30" s="2">
        <f t="shared" ref="L30:L54" si="7">IFERROR((K30-J30),"-")</f>
        <v>0</v>
      </c>
      <c r="M30" s="19">
        <v>46762</v>
      </c>
      <c r="N30" s="19">
        <v>46762</v>
      </c>
      <c r="O30" s="2">
        <f t="shared" ref="O30:O54" si="8">IFERROR((N30-M30),"-")</f>
        <v>0</v>
      </c>
      <c r="P30" s="2" t="s">
        <v>7</v>
      </c>
      <c r="U30" s="3"/>
    </row>
    <row r="31" spans="1:21 16324:16324" s="46" customFormat="1">
      <c r="A31" s="8" t="s">
        <v>425</v>
      </c>
      <c r="B31" s="8" t="s">
        <v>429</v>
      </c>
      <c r="C31" s="8" t="s">
        <v>476</v>
      </c>
      <c r="D31" s="8" t="s">
        <v>477</v>
      </c>
      <c r="E31" s="9" t="s">
        <v>221</v>
      </c>
      <c r="F31" s="64">
        <v>21126.636355858969</v>
      </c>
      <c r="G31" s="19">
        <v>46639</v>
      </c>
      <c r="H31" s="19">
        <v>46639</v>
      </c>
      <c r="I31" s="2">
        <f t="shared" si="6"/>
        <v>0</v>
      </c>
      <c r="J31" s="19">
        <v>46754</v>
      </c>
      <c r="K31" s="19">
        <v>46754</v>
      </c>
      <c r="L31" s="2">
        <f t="shared" si="7"/>
        <v>0</v>
      </c>
      <c r="M31" s="19">
        <v>46777</v>
      </c>
      <c r="N31" s="19">
        <v>46777</v>
      </c>
      <c r="O31" s="2">
        <f t="shared" si="8"/>
        <v>0</v>
      </c>
      <c r="P31" s="2" t="s">
        <v>7</v>
      </c>
      <c r="U31" s="3"/>
    </row>
    <row r="32" spans="1:21 16324:16324" s="46" customFormat="1">
      <c r="A32" s="8" t="s">
        <v>425</v>
      </c>
      <c r="B32" s="8" t="s">
        <v>429</v>
      </c>
      <c r="C32" s="8" t="s">
        <v>478</v>
      </c>
      <c r="D32" s="8" t="s">
        <v>479</v>
      </c>
      <c r="E32" s="9" t="s">
        <v>221</v>
      </c>
      <c r="F32" s="64">
        <v>20891.286292600496</v>
      </c>
      <c r="G32" s="19">
        <v>46651</v>
      </c>
      <c r="H32" s="19">
        <v>46651</v>
      </c>
      <c r="I32" s="2">
        <f t="shared" si="6"/>
        <v>0</v>
      </c>
      <c r="J32" s="19">
        <v>46766</v>
      </c>
      <c r="K32" s="19">
        <v>46766</v>
      </c>
      <c r="L32" s="2">
        <f t="shared" si="7"/>
        <v>0</v>
      </c>
      <c r="M32" s="19">
        <v>46790</v>
      </c>
      <c r="N32" s="19">
        <v>46790</v>
      </c>
      <c r="O32" s="2">
        <f t="shared" si="8"/>
        <v>0</v>
      </c>
      <c r="P32" s="2" t="s">
        <v>7</v>
      </c>
      <c r="U32" s="3"/>
    </row>
    <row r="33" spans="1:21" s="46" customFormat="1">
      <c r="A33" s="8" t="s">
        <v>425</v>
      </c>
      <c r="B33" s="8" t="s">
        <v>429</v>
      </c>
      <c r="C33" s="8" t="s">
        <v>480</v>
      </c>
      <c r="D33" s="8" t="s">
        <v>481</v>
      </c>
      <c r="E33" s="9" t="s">
        <v>221</v>
      </c>
      <c r="F33" s="64">
        <v>17053.204117982968</v>
      </c>
      <c r="G33" s="19">
        <v>46659</v>
      </c>
      <c r="H33" s="19">
        <v>46659</v>
      </c>
      <c r="I33" s="2">
        <f t="shared" si="6"/>
        <v>0</v>
      </c>
      <c r="J33" s="19">
        <v>46780</v>
      </c>
      <c r="K33" s="19">
        <v>46780</v>
      </c>
      <c r="L33" s="2">
        <f t="shared" si="7"/>
        <v>0</v>
      </c>
      <c r="M33" s="19">
        <v>46803</v>
      </c>
      <c r="N33" s="19">
        <v>46803</v>
      </c>
      <c r="O33" s="2">
        <f t="shared" si="8"/>
        <v>0</v>
      </c>
      <c r="P33" s="2" t="s">
        <v>7</v>
      </c>
      <c r="U33" s="3"/>
    </row>
    <row r="34" spans="1:21" s="46" customFormat="1">
      <c r="A34" s="8" t="s">
        <v>425</v>
      </c>
      <c r="B34" s="8" t="s">
        <v>430</v>
      </c>
      <c r="C34" s="8" t="s">
        <v>482</v>
      </c>
      <c r="D34" s="8" t="s">
        <v>483</v>
      </c>
      <c r="E34" s="9" t="s">
        <v>221</v>
      </c>
      <c r="F34" s="64">
        <v>24285.383934523154</v>
      </c>
      <c r="G34" s="19">
        <v>46663</v>
      </c>
      <c r="H34" s="19">
        <v>46663</v>
      </c>
      <c r="I34" s="2">
        <f t="shared" si="6"/>
        <v>0</v>
      </c>
      <c r="J34" s="19">
        <v>46794</v>
      </c>
      <c r="K34" s="19">
        <v>46794</v>
      </c>
      <c r="L34" s="2">
        <f t="shared" si="7"/>
        <v>0</v>
      </c>
      <c r="M34" s="19">
        <v>46817</v>
      </c>
      <c r="N34" s="19">
        <v>46817</v>
      </c>
      <c r="O34" s="2">
        <f t="shared" si="8"/>
        <v>0</v>
      </c>
      <c r="P34" s="2" t="s">
        <v>7</v>
      </c>
      <c r="U34" s="3"/>
    </row>
    <row r="35" spans="1:21" s="46" customFormat="1">
      <c r="A35" s="8" t="s">
        <v>425</v>
      </c>
      <c r="B35" s="8" t="s">
        <v>430</v>
      </c>
      <c r="C35" s="8" t="s">
        <v>484</v>
      </c>
      <c r="D35" s="8" t="s">
        <v>485</v>
      </c>
      <c r="E35" s="9" t="s">
        <v>221</v>
      </c>
      <c r="F35" s="64">
        <v>19072.712519488658</v>
      </c>
      <c r="G35" s="19">
        <v>46666</v>
      </c>
      <c r="H35" s="19">
        <v>46666</v>
      </c>
      <c r="I35" s="2">
        <f t="shared" si="6"/>
        <v>0</v>
      </c>
      <c r="J35" s="19">
        <v>46805</v>
      </c>
      <c r="K35" s="19">
        <v>46805</v>
      </c>
      <c r="L35" s="2">
        <f t="shared" si="7"/>
        <v>0</v>
      </c>
      <c r="M35" s="19">
        <v>46828</v>
      </c>
      <c r="N35" s="19">
        <v>46828</v>
      </c>
      <c r="O35" s="2">
        <f t="shared" si="8"/>
        <v>0</v>
      </c>
      <c r="P35" s="2" t="s">
        <v>7</v>
      </c>
      <c r="U35" s="3"/>
    </row>
    <row r="36" spans="1:21" s="46" customFormat="1">
      <c r="A36" s="8" t="s">
        <v>425</v>
      </c>
      <c r="B36" s="8" t="s">
        <v>431</v>
      </c>
      <c r="C36" s="8" t="s">
        <v>486</v>
      </c>
      <c r="D36" s="8" t="s">
        <v>487</v>
      </c>
      <c r="E36" s="9" t="s">
        <v>221</v>
      </c>
      <c r="F36" s="64">
        <v>3670.6587433609475</v>
      </c>
      <c r="G36" s="19">
        <v>46674</v>
      </c>
      <c r="H36" s="19">
        <v>46674</v>
      </c>
      <c r="I36" s="2">
        <f t="shared" si="6"/>
        <v>0</v>
      </c>
      <c r="J36" s="19">
        <v>46815</v>
      </c>
      <c r="K36" s="19">
        <v>46815</v>
      </c>
      <c r="L36" s="2">
        <f t="shared" si="7"/>
        <v>0</v>
      </c>
      <c r="M36" s="19">
        <v>46838</v>
      </c>
      <c r="N36" s="19">
        <v>46838</v>
      </c>
      <c r="O36" s="2">
        <f t="shared" si="8"/>
        <v>0</v>
      </c>
      <c r="P36" s="2" t="s">
        <v>7</v>
      </c>
      <c r="U36" s="3"/>
    </row>
    <row r="37" spans="1:21" s="46" customFormat="1">
      <c r="A37" s="8" t="s">
        <v>425</v>
      </c>
      <c r="B37" s="8" t="s">
        <v>431</v>
      </c>
      <c r="C37" s="8" t="s">
        <v>488</v>
      </c>
      <c r="D37" s="8" t="s">
        <v>489</v>
      </c>
      <c r="E37" s="9" t="s">
        <v>221</v>
      </c>
      <c r="F37" s="64">
        <v>7393.3955246458518</v>
      </c>
      <c r="G37" s="19">
        <v>46684</v>
      </c>
      <c r="H37" s="19">
        <v>46684</v>
      </c>
      <c r="I37" s="2">
        <f t="shared" si="6"/>
        <v>0</v>
      </c>
      <c r="J37" s="19">
        <v>46835</v>
      </c>
      <c r="K37" s="19">
        <v>46835</v>
      </c>
      <c r="L37" s="2">
        <f t="shared" si="7"/>
        <v>0</v>
      </c>
      <c r="M37" s="19">
        <v>46858</v>
      </c>
      <c r="N37" s="19">
        <v>46858</v>
      </c>
      <c r="O37" s="2">
        <f t="shared" si="8"/>
        <v>0</v>
      </c>
      <c r="P37" s="2" t="s">
        <v>7</v>
      </c>
      <c r="U37" s="3"/>
    </row>
    <row r="38" spans="1:21" s="46" customFormat="1">
      <c r="A38" s="8" t="s">
        <v>425</v>
      </c>
      <c r="B38" s="8" t="s">
        <v>431</v>
      </c>
      <c r="C38" s="8" t="s">
        <v>490</v>
      </c>
      <c r="D38" s="8" t="s">
        <v>491</v>
      </c>
      <c r="E38" s="9" t="s">
        <v>221</v>
      </c>
      <c r="F38" s="64">
        <v>11005.770078639263</v>
      </c>
      <c r="G38" s="19">
        <v>46703</v>
      </c>
      <c r="H38" s="19">
        <v>46703</v>
      </c>
      <c r="I38" s="2">
        <f t="shared" si="6"/>
        <v>0</v>
      </c>
      <c r="J38" s="19">
        <v>46851</v>
      </c>
      <c r="K38" s="19">
        <v>46851</v>
      </c>
      <c r="L38" s="2">
        <f t="shared" si="7"/>
        <v>0</v>
      </c>
      <c r="M38" s="19">
        <v>46874</v>
      </c>
      <c r="N38" s="19">
        <v>46874</v>
      </c>
      <c r="O38" s="2">
        <f t="shared" si="8"/>
        <v>0</v>
      </c>
      <c r="P38" s="2" t="s">
        <v>7</v>
      </c>
      <c r="U38" s="3"/>
    </row>
    <row r="39" spans="1:21" s="46" customFormat="1">
      <c r="A39" s="8" t="s">
        <v>425</v>
      </c>
      <c r="B39" s="8" t="s">
        <v>431</v>
      </c>
      <c r="C39" s="8" t="s">
        <v>492</v>
      </c>
      <c r="D39" s="8" t="s">
        <v>493</v>
      </c>
      <c r="E39" s="9" t="s">
        <v>221</v>
      </c>
      <c r="F39" s="64">
        <v>13706.378875368548</v>
      </c>
      <c r="G39" s="19">
        <v>46720</v>
      </c>
      <c r="H39" s="19">
        <v>46720</v>
      </c>
      <c r="I39" s="2">
        <f t="shared" si="6"/>
        <v>0</v>
      </c>
      <c r="J39" s="19">
        <v>46867</v>
      </c>
      <c r="K39" s="19">
        <v>46867</v>
      </c>
      <c r="L39" s="2">
        <f t="shared" si="7"/>
        <v>0</v>
      </c>
      <c r="M39" s="19">
        <v>46890</v>
      </c>
      <c r="N39" s="19">
        <v>46890</v>
      </c>
      <c r="O39" s="2">
        <f t="shared" si="8"/>
        <v>0</v>
      </c>
      <c r="P39" s="2" t="s">
        <v>7</v>
      </c>
      <c r="U39" s="3"/>
    </row>
    <row r="40" spans="1:21" s="46" customFormat="1">
      <c r="A40" s="8" t="s">
        <v>425</v>
      </c>
      <c r="B40" s="8" t="s">
        <v>431</v>
      </c>
      <c r="C40" s="8" t="s">
        <v>494</v>
      </c>
      <c r="D40" s="8" t="s">
        <v>495</v>
      </c>
      <c r="E40" s="9" t="s">
        <v>221</v>
      </c>
      <c r="F40" s="64">
        <v>13092.84165088862</v>
      </c>
      <c r="G40" s="19">
        <v>46738</v>
      </c>
      <c r="H40" s="19">
        <v>46738</v>
      </c>
      <c r="I40" s="2">
        <f t="shared" si="6"/>
        <v>0</v>
      </c>
      <c r="J40" s="19">
        <v>46880</v>
      </c>
      <c r="K40" s="19">
        <v>46880</v>
      </c>
      <c r="L40" s="2">
        <f t="shared" si="7"/>
        <v>0</v>
      </c>
      <c r="M40" s="19">
        <v>46903</v>
      </c>
      <c r="N40" s="19">
        <v>46903</v>
      </c>
      <c r="O40" s="2">
        <f t="shared" si="8"/>
        <v>0</v>
      </c>
      <c r="P40" s="2" t="s">
        <v>7</v>
      </c>
      <c r="U40" s="3"/>
    </row>
    <row r="41" spans="1:21" s="46" customFormat="1">
      <c r="A41" s="8" t="s">
        <v>425</v>
      </c>
      <c r="B41" s="8" t="s">
        <v>431</v>
      </c>
      <c r="C41" s="8" t="s">
        <v>496</v>
      </c>
      <c r="D41" s="8" t="s">
        <v>497</v>
      </c>
      <c r="E41" s="9" t="s">
        <v>221</v>
      </c>
      <c r="F41" s="64">
        <v>11238.812838418964</v>
      </c>
      <c r="G41" s="19">
        <v>46759</v>
      </c>
      <c r="H41" s="19">
        <v>46759</v>
      </c>
      <c r="I41" s="2">
        <f t="shared" si="6"/>
        <v>0</v>
      </c>
      <c r="J41" s="19">
        <v>46891</v>
      </c>
      <c r="K41" s="19">
        <v>46891</v>
      </c>
      <c r="L41" s="2">
        <f t="shared" si="7"/>
        <v>0</v>
      </c>
      <c r="M41" s="19">
        <v>46914</v>
      </c>
      <c r="N41" s="19">
        <v>46914</v>
      </c>
      <c r="O41" s="2">
        <f t="shared" si="8"/>
        <v>0</v>
      </c>
      <c r="P41" s="2" t="s">
        <v>7</v>
      </c>
      <c r="U41" s="3"/>
    </row>
    <row r="42" spans="1:21" s="46" customFormat="1">
      <c r="A42" s="8" t="s">
        <v>425</v>
      </c>
      <c r="B42" s="8" t="s">
        <v>431</v>
      </c>
      <c r="C42" s="8" t="s">
        <v>498</v>
      </c>
      <c r="D42" s="8" t="s">
        <v>499</v>
      </c>
      <c r="E42" s="9" t="s">
        <v>221</v>
      </c>
      <c r="F42" s="64">
        <v>9545.1869537562015</v>
      </c>
      <c r="G42" s="19">
        <v>46775</v>
      </c>
      <c r="H42" s="19">
        <v>46775</v>
      </c>
      <c r="I42" s="2">
        <f t="shared" si="6"/>
        <v>0</v>
      </c>
      <c r="J42" s="19">
        <v>46901</v>
      </c>
      <c r="K42" s="19">
        <v>46901</v>
      </c>
      <c r="L42" s="2">
        <f t="shared" si="7"/>
        <v>0</v>
      </c>
      <c r="M42" s="19">
        <v>46924</v>
      </c>
      <c r="N42" s="19">
        <v>46924</v>
      </c>
      <c r="O42" s="2">
        <f t="shared" si="8"/>
        <v>0</v>
      </c>
      <c r="P42" s="2" t="s">
        <v>7</v>
      </c>
      <c r="U42" s="3"/>
    </row>
    <row r="43" spans="1:21" s="46" customFormat="1">
      <c r="A43" s="8" t="s">
        <v>425</v>
      </c>
      <c r="B43" s="8" t="s">
        <v>431</v>
      </c>
      <c r="C43" s="8" t="s">
        <v>500</v>
      </c>
      <c r="D43" s="8" t="s">
        <v>501</v>
      </c>
      <c r="E43" s="9" t="s">
        <v>221</v>
      </c>
      <c r="F43" s="64">
        <v>11006.765964301208</v>
      </c>
      <c r="G43" s="19">
        <v>46791</v>
      </c>
      <c r="H43" s="19">
        <v>46791</v>
      </c>
      <c r="I43" s="2">
        <f t="shared" si="6"/>
        <v>0</v>
      </c>
      <c r="J43" s="19">
        <v>46914</v>
      </c>
      <c r="K43" s="19">
        <v>46914</v>
      </c>
      <c r="L43" s="2">
        <f t="shared" si="7"/>
        <v>0</v>
      </c>
      <c r="M43" s="19">
        <v>46937</v>
      </c>
      <c r="N43" s="19">
        <v>46937</v>
      </c>
      <c r="O43" s="2">
        <f t="shared" si="8"/>
        <v>0</v>
      </c>
      <c r="P43" s="2" t="s">
        <v>7</v>
      </c>
      <c r="U43" s="3"/>
    </row>
    <row r="44" spans="1:21" s="46" customFormat="1">
      <c r="A44" s="8" t="s">
        <v>425</v>
      </c>
      <c r="B44" s="8" t="s">
        <v>431</v>
      </c>
      <c r="C44" s="8" t="s">
        <v>502</v>
      </c>
      <c r="D44" s="8" t="s">
        <v>503</v>
      </c>
      <c r="E44" s="9" t="s">
        <v>221</v>
      </c>
      <c r="F44" s="64">
        <v>9856.5905408473736</v>
      </c>
      <c r="G44" s="19">
        <v>46805</v>
      </c>
      <c r="H44" s="19">
        <v>46805</v>
      </c>
      <c r="I44" s="2">
        <f t="shared" si="6"/>
        <v>0</v>
      </c>
      <c r="J44" s="19">
        <v>46924</v>
      </c>
      <c r="K44" s="19">
        <v>46924</v>
      </c>
      <c r="L44" s="2">
        <f t="shared" si="7"/>
        <v>0</v>
      </c>
      <c r="M44" s="19">
        <v>46947</v>
      </c>
      <c r="N44" s="19">
        <v>46947</v>
      </c>
      <c r="O44" s="2">
        <f t="shared" si="8"/>
        <v>0</v>
      </c>
      <c r="P44" s="2" t="s">
        <v>7</v>
      </c>
      <c r="U44" s="3"/>
    </row>
    <row r="45" spans="1:21" s="46" customFormat="1">
      <c r="A45" s="8" t="s">
        <v>425</v>
      </c>
      <c r="B45" s="8" t="s">
        <v>431</v>
      </c>
      <c r="C45" s="8" t="s">
        <v>504</v>
      </c>
      <c r="D45" s="8" t="s">
        <v>505</v>
      </c>
      <c r="E45" s="9" t="s">
        <v>221</v>
      </c>
      <c r="F45" s="64">
        <v>9493.5621405982183</v>
      </c>
      <c r="G45" s="19">
        <v>46820</v>
      </c>
      <c r="H45" s="19">
        <v>46820</v>
      </c>
      <c r="I45" s="2">
        <f t="shared" si="6"/>
        <v>0</v>
      </c>
      <c r="J45" s="19">
        <v>46934</v>
      </c>
      <c r="K45" s="19">
        <v>46934</v>
      </c>
      <c r="L45" s="2">
        <f t="shared" si="7"/>
        <v>0</v>
      </c>
      <c r="M45" s="19">
        <v>46957</v>
      </c>
      <c r="N45" s="19">
        <v>46957</v>
      </c>
      <c r="O45" s="2">
        <f t="shared" si="8"/>
        <v>0</v>
      </c>
      <c r="P45" s="2" t="s">
        <v>7</v>
      </c>
      <c r="U45" s="3"/>
    </row>
    <row r="46" spans="1:21" s="46" customFormat="1">
      <c r="A46" s="8" t="s">
        <v>425</v>
      </c>
      <c r="B46" s="8" t="s">
        <v>431</v>
      </c>
      <c r="C46" s="8" t="s">
        <v>506</v>
      </c>
      <c r="D46" s="8" t="s">
        <v>507</v>
      </c>
      <c r="E46" s="9" t="s">
        <v>221</v>
      </c>
      <c r="F46" s="64">
        <v>8464.8366231018554</v>
      </c>
      <c r="G46" s="19">
        <v>46835</v>
      </c>
      <c r="H46" s="19">
        <v>46835</v>
      </c>
      <c r="I46" s="2">
        <f t="shared" si="6"/>
        <v>0</v>
      </c>
      <c r="J46" s="19">
        <v>46943</v>
      </c>
      <c r="K46" s="19">
        <v>46943</v>
      </c>
      <c r="L46" s="2">
        <f t="shared" si="7"/>
        <v>0</v>
      </c>
      <c r="M46" s="19">
        <v>46966</v>
      </c>
      <c r="N46" s="19">
        <v>46966</v>
      </c>
      <c r="O46" s="2">
        <f t="shared" si="8"/>
        <v>0</v>
      </c>
      <c r="P46" s="2" t="s">
        <v>7</v>
      </c>
      <c r="U46" s="3"/>
    </row>
    <row r="47" spans="1:21" s="46" customFormat="1">
      <c r="A47" s="8" t="s">
        <v>425</v>
      </c>
      <c r="B47" s="8" t="s">
        <v>432</v>
      </c>
      <c r="C47" s="8" t="s">
        <v>508</v>
      </c>
      <c r="D47" s="8" t="s">
        <v>509</v>
      </c>
      <c r="E47" s="9" t="s">
        <v>221</v>
      </c>
      <c r="F47" s="64">
        <v>19403.964641840728</v>
      </c>
      <c r="G47" s="19">
        <v>46850</v>
      </c>
      <c r="H47" s="19">
        <v>46850</v>
      </c>
      <c r="I47" s="2">
        <f t="shared" si="6"/>
        <v>0</v>
      </c>
      <c r="J47" s="19">
        <v>46955</v>
      </c>
      <c r="K47" s="19">
        <v>46955</v>
      </c>
      <c r="L47" s="2">
        <f t="shared" si="7"/>
        <v>0</v>
      </c>
      <c r="M47" s="19">
        <v>46977</v>
      </c>
      <c r="N47" s="19">
        <v>46977</v>
      </c>
      <c r="O47" s="2">
        <f t="shared" si="8"/>
        <v>0</v>
      </c>
      <c r="P47" s="2" t="s">
        <v>7</v>
      </c>
      <c r="U47" s="3"/>
    </row>
    <row r="48" spans="1:21" s="46" customFormat="1">
      <c r="A48" s="8" t="s">
        <v>425</v>
      </c>
      <c r="B48" s="8" t="s">
        <v>432</v>
      </c>
      <c r="C48" s="8" t="s">
        <v>510</v>
      </c>
      <c r="D48" s="8" t="s">
        <v>511</v>
      </c>
      <c r="E48" s="9" t="s">
        <v>221</v>
      </c>
      <c r="F48" s="64">
        <v>9176.7570323873497</v>
      </c>
      <c r="G48" s="19">
        <v>46854</v>
      </c>
      <c r="H48" s="19">
        <v>46854</v>
      </c>
      <c r="I48" s="2">
        <f t="shared" si="6"/>
        <v>0</v>
      </c>
      <c r="J48" s="19">
        <v>46958</v>
      </c>
      <c r="K48" s="19">
        <v>46958</v>
      </c>
      <c r="L48" s="2">
        <f t="shared" si="7"/>
        <v>0</v>
      </c>
      <c r="M48" s="19">
        <v>46981</v>
      </c>
      <c r="N48" s="19">
        <v>46981</v>
      </c>
      <c r="O48" s="2">
        <f t="shared" si="8"/>
        <v>0</v>
      </c>
      <c r="P48" s="2" t="s">
        <v>7</v>
      </c>
      <c r="U48" s="3"/>
    </row>
    <row r="49" spans="1:21" s="46" customFormat="1">
      <c r="A49" s="8" t="s">
        <v>425</v>
      </c>
      <c r="B49" s="8" t="s">
        <v>433</v>
      </c>
      <c r="C49" s="8" t="s">
        <v>512</v>
      </c>
      <c r="D49" s="8" t="s">
        <v>513</v>
      </c>
      <c r="E49" s="9" t="s">
        <v>221</v>
      </c>
      <c r="F49" s="64">
        <v>10516.761780644523</v>
      </c>
      <c r="G49" s="19">
        <v>46860</v>
      </c>
      <c r="H49" s="19">
        <v>46860</v>
      </c>
      <c r="I49" s="2">
        <f t="shared" si="6"/>
        <v>0</v>
      </c>
      <c r="J49" s="19">
        <v>46963</v>
      </c>
      <c r="K49" s="19">
        <v>46963</v>
      </c>
      <c r="L49" s="2">
        <f t="shared" si="7"/>
        <v>0</v>
      </c>
      <c r="M49" s="19">
        <v>46986</v>
      </c>
      <c r="N49" s="19">
        <v>46986</v>
      </c>
      <c r="O49" s="2">
        <f t="shared" si="8"/>
        <v>0</v>
      </c>
      <c r="P49" s="2" t="s">
        <v>7</v>
      </c>
      <c r="U49" s="3"/>
    </row>
    <row r="50" spans="1:21" s="46" customFormat="1">
      <c r="A50" s="8" t="s">
        <v>425</v>
      </c>
      <c r="B50" s="8" t="s">
        <v>433</v>
      </c>
      <c r="C50" s="8" t="s">
        <v>514</v>
      </c>
      <c r="D50" s="8" t="s">
        <v>515</v>
      </c>
      <c r="E50" s="9" t="s">
        <v>221</v>
      </c>
      <c r="F50" s="64">
        <v>9142.3822596506761</v>
      </c>
      <c r="G50" s="19">
        <v>46870</v>
      </c>
      <c r="H50" s="19">
        <v>46870</v>
      </c>
      <c r="I50" s="2">
        <f t="shared" si="6"/>
        <v>0</v>
      </c>
      <c r="J50" s="19">
        <v>46969</v>
      </c>
      <c r="K50" s="19">
        <v>46969</v>
      </c>
      <c r="L50" s="2">
        <f t="shared" si="7"/>
        <v>0</v>
      </c>
      <c r="M50" s="19">
        <v>46993</v>
      </c>
      <c r="N50" s="19">
        <v>46993</v>
      </c>
      <c r="O50" s="2">
        <f t="shared" si="8"/>
        <v>0</v>
      </c>
      <c r="P50" s="2" t="s">
        <v>7</v>
      </c>
      <c r="U50" s="3"/>
    </row>
    <row r="51" spans="1:21" s="46" customFormat="1">
      <c r="A51" s="8" t="s">
        <v>425</v>
      </c>
      <c r="B51" s="8" t="s">
        <v>434</v>
      </c>
      <c r="C51" s="8" t="s">
        <v>516</v>
      </c>
      <c r="D51" s="8" t="s">
        <v>517</v>
      </c>
      <c r="E51" s="9" t="s">
        <v>221</v>
      </c>
      <c r="F51" s="64">
        <v>3589.0920028084884</v>
      </c>
      <c r="G51" s="19">
        <v>46871</v>
      </c>
      <c r="H51" s="19">
        <v>46871</v>
      </c>
      <c r="I51" s="2">
        <f t="shared" si="6"/>
        <v>0</v>
      </c>
      <c r="J51" s="19">
        <v>46970</v>
      </c>
      <c r="K51" s="19">
        <v>46970</v>
      </c>
      <c r="L51" s="2">
        <f t="shared" si="7"/>
        <v>0</v>
      </c>
      <c r="M51" s="19">
        <v>46994</v>
      </c>
      <c r="N51" s="19">
        <v>46994</v>
      </c>
      <c r="O51" s="2">
        <f t="shared" si="8"/>
        <v>0</v>
      </c>
      <c r="P51" s="2" t="s">
        <v>7</v>
      </c>
      <c r="U51" s="3"/>
    </row>
    <row r="52" spans="1:21" s="46" customFormat="1">
      <c r="A52" s="8" t="s">
        <v>425</v>
      </c>
      <c r="B52" s="8" t="s">
        <v>434</v>
      </c>
      <c r="C52" s="8" t="s">
        <v>518</v>
      </c>
      <c r="D52" s="8" t="s">
        <v>519</v>
      </c>
      <c r="E52" s="9" t="s">
        <v>221</v>
      </c>
      <c r="F52" s="64">
        <v>4499.7501828057566</v>
      </c>
      <c r="G52" s="19">
        <v>46872</v>
      </c>
      <c r="H52" s="19">
        <v>46872</v>
      </c>
      <c r="I52" s="2">
        <f t="shared" si="6"/>
        <v>0</v>
      </c>
      <c r="J52" s="19">
        <v>46971</v>
      </c>
      <c r="K52" s="19">
        <v>46971</v>
      </c>
      <c r="L52" s="2">
        <f t="shared" si="7"/>
        <v>0</v>
      </c>
      <c r="M52" s="19">
        <v>46995</v>
      </c>
      <c r="N52" s="19">
        <v>46995</v>
      </c>
      <c r="O52" s="2">
        <f t="shared" si="8"/>
        <v>0</v>
      </c>
      <c r="P52" s="2" t="s">
        <v>7</v>
      </c>
      <c r="U52" s="3"/>
    </row>
    <row r="53" spans="1:21" s="46" customFormat="1">
      <c r="A53" s="8" t="s">
        <v>425</v>
      </c>
      <c r="B53" s="8" t="s">
        <v>435</v>
      </c>
      <c r="C53" s="8" t="s">
        <v>520</v>
      </c>
      <c r="D53" s="8" t="s">
        <v>521</v>
      </c>
      <c r="E53" s="9" t="s">
        <v>221</v>
      </c>
      <c r="F53" s="64">
        <v>6725.8424711891348</v>
      </c>
      <c r="G53" s="19">
        <v>46874</v>
      </c>
      <c r="H53" s="19">
        <v>46874</v>
      </c>
      <c r="I53" s="2">
        <f t="shared" si="6"/>
        <v>0</v>
      </c>
      <c r="J53" s="19">
        <v>46973</v>
      </c>
      <c r="K53" s="19">
        <v>46973</v>
      </c>
      <c r="L53" s="2">
        <f t="shared" si="7"/>
        <v>0</v>
      </c>
      <c r="M53" s="19">
        <v>46997</v>
      </c>
      <c r="N53" s="19">
        <v>46997</v>
      </c>
      <c r="O53" s="2">
        <f t="shared" si="8"/>
        <v>0</v>
      </c>
      <c r="P53" s="2" t="s">
        <v>7</v>
      </c>
      <c r="U53" s="3"/>
    </row>
    <row r="54" spans="1:21" s="46" customFormat="1" ht="14">
      <c r="A54" s="8" t="s">
        <v>425</v>
      </c>
      <c r="B54" s="8" t="s">
        <v>435</v>
      </c>
      <c r="C54" s="8" t="s">
        <v>522</v>
      </c>
      <c r="D54" s="8" t="s">
        <v>523</v>
      </c>
      <c r="E54" s="9" t="s">
        <v>221</v>
      </c>
      <c r="F54" s="64">
        <v>6988.9587267377956</v>
      </c>
      <c r="G54" s="145">
        <v>46876</v>
      </c>
      <c r="H54" s="145">
        <v>46876</v>
      </c>
      <c r="I54" s="2">
        <f t="shared" si="6"/>
        <v>0</v>
      </c>
      <c r="J54" s="145">
        <v>46975</v>
      </c>
      <c r="K54" s="145">
        <v>46975</v>
      </c>
      <c r="L54" s="2">
        <f t="shared" si="7"/>
        <v>0</v>
      </c>
      <c r="M54" s="145">
        <v>46998</v>
      </c>
      <c r="N54" s="145">
        <v>46998</v>
      </c>
      <c r="O54" s="2">
        <f t="shared" si="8"/>
        <v>0</v>
      </c>
      <c r="P54" s="136" t="s">
        <v>583</v>
      </c>
      <c r="U54" s="3"/>
    </row>
    <row r="55" spans="1:21" s="46" customFormat="1">
      <c r="A55" s="8" t="s">
        <v>424</v>
      </c>
      <c r="B55" s="8" t="s">
        <v>426</v>
      </c>
      <c r="C55" s="8" t="s">
        <v>436</v>
      </c>
      <c r="D55" s="8" t="s">
        <v>437</v>
      </c>
      <c r="E55" s="9" t="s">
        <v>221</v>
      </c>
      <c r="F55" s="64">
        <v>8940.6125597396785</v>
      </c>
      <c r="G55" s="19">
        <v>46838</v>
      </c>
      <c r="H55" s="19">
        <v>46838</v>
      </c>
      <c r="I55" s="2">
        <f t="shared" ref="I55:I72" si="9">IFERROR((H55-G55),"-")</f>
        <v>0</v>
      </c>
      <c r="J55" s="19">
        <v>46947</v>
      </c>
      <c r="K55" s="19">
        <v>46947</v>
      </c>
      <c r="L55" s="2">
        <f t="shared" ref="L55:L72" si="10">IFERROR((K55-J55),"-")</f>
        <v>0</v>
      </c>
      <c r="M55" s="19">
        <v>46970</v>
      </c>
      <c r="N55" s="19">
        <v>46970</v>
      </c>
      <c r="O55" s="2">
        <f t="shared" ref="O55:O72" si="11">IFERROR((N55-M55),"-")</f>
        <v>0</v>
      </c>
      <c r="P55" s="2" t="s">
        <v>7</v>
      </c>
      <c r="U55" s="3"/>
    </row>
    <row r="56" spans="1:21" s="46" customFormat="1">
      <c r="A56" s="8" t="s">
        <v>424</v>
      </c>
      <c r="B56" s="8" t="s">
        <v>426</v>
      </c>
      <c r="C56" s="8" t="s">
        <v>438</v>
      </c>
      <c r="D56" s="8" t="s">
        <v>439</v>
      </c>
      <c r="E56" s="9" t="s">
        <v>221</v>
      </c>
      <c r="F56" s="64">
        <v>7945.446835908112</v>
      </c>
      <c r="G56" s="19">
        <v>46880</v>
      </c>
      <c r="H56" s="19">
        <v>46880</v>
      </c>
      <c r="I56" s="2">
        <f t="shared" si="9"/>
        <v>0</v>
      </c>
      <c r="J56" s="19">
        <v>46979</v>
      </c>
      <c r="K56" s="19">
        <v>46979</v>
      </c>
      <c r="L56" s="2">
        <f t="shared" si="10"/>
        <v>0</v>
      </c>
      <c r="M56" s="19">
        <v>47003</v>
      </c>
      <c r="N56" s="19">
        <v>47003</v>
      </c>
      <c r="O56" s="2">
        <f t="shared" si="11"/>
        <v>0</v>
      </c>
      <c r="P56" s="2" t="s">
        <v>7</v>
      </c>
      <c r="U56" s="3"/>
    </row>
    <row r="57" spans="1:21" s="46" customFormat="1">
      <c r="A57" s="8" t="s">
        <v>424</v>
      </c>
      <c r="B57" s="8" t="s">
        <v>426</v>
      </c>
      <c r="C57" s="8" t="s">
        <v>440</v>
      </c>
      <c r="D57" s="8" t="s">
        <v>441</v>
      </c>
      <c r="E57" s="9" t="s">
        <v>221</v>
      </c>
      <c r="F57" s="64">
        <v>9294.4172239585623</v>
      </c>
      <c r="G57" s="19">
        <v>46885</v>
      </c>
      <c r="H57" s="19">
        <v>46885</v>
      </c>
      <c r="I57" s="2">
        <f t="shared" si="9"/>
        <v>0</v>
      </c>
      <c r="J57" s="19">
        <v>46985</v>
      </c>
      <c r="K57" s="19">
        <v>46985</v>
      </c>
      <c r="L57" s="2">
        <f t="shared" si="10"/>
        <v>0</v>
      </c>
      <c r="M57" s="19">
        <v>47006</v>
      </c>
      <c r="N57" s="19">
        <v>47006</v>
      </c>
      <c r="O57" s="2">
        <f t="shared" si="11"/>
        <v>0</v>
      </c>
      <c r="P57" s="2" t="s">
        <v>7</v>
      </c>
      <c r="U57" s="3"/>
    </row>
    <row r="58" spans="1:21" s="46" customFormat="1">
      <c r="A58" s="8" t="s">
        <v>424</v>
      </c>
      <c r="B58" s="8" t="s">
        <v>426</v>
      </c>
      <c r="C58" s="8" t="s">
        <v>442</v>
      </c>
      <c r="D58" s="8" t="s">
        <v>443</v>
      </c>
      <c r="E58" s="9" t="s">
        <v>221</v>
      </c>
      <c r="F58" s="64">
        <v>6975.1976371264436</v>
      </c>
      <c r="G58" s="19">
        <v>46888</v>
      </c>
      <c r="H58" s="19">
        <v>46888</v>
      </c>
      <c r="I58" s="2">
        <f t="shared" si="9"/>
        <v>0</v>
      </c>
      <c r="J58" s="19">
        <v>46988</v>
      </c>
      <c r="K58" s="19">
        <v>46988</v>
      </c>
      <c r="L58" s="2">
        <f t="shared" si="10"/>
        <v>0</v>
      </c>
      <c r="M58" s="19">
        <v>47011</v>
      </c>
      <c r="N58" s="19">
        <v>47011</v>
      </c>
      <c r="O58" s="2">
        <f t="shared" si="11"/>
        <v>0</v>
      </c>
      <c r="P58" s="2" t="s">
        <v>7</v>
      </c>
      <c r="U58" s="3"/>
    </row>
    <row r="59" spans="1:21" s="46" customFormat="1">
      <c r="A59" s="8" t="s">
        <v>424</v>
      </c>
      <c r="B59" s="8" t="s">
        <v>426</v>
      </c>
      <c r="C59" s="8" t="s">
        <v>444</v>
      </c>
      <c r="D59" s="8" t="s">
        <v>445</v>
      </c>
      <c r="E59" s="9" t="s">
        <v>221</v>
      </c>
      <c r="F59" s="64">
        <v>8945.6474270757153</v>
      </c>
      <c r="G59" s="19">
        <v>46897</v>
      </c>
      <c r="H59" s="19">
        <v>46897</v>
      </c>
      <c r="I59" s="2">
        <f t="shared" si="9"/>
        <v>0</v>
      </c>
      <c r="J59" s="19">
        <v>46999</v>
      </c>
      <c r="K59" s="19">
        <v>46999</v>
      </c>
      <c r="L59" s="2">
        <f t="shared" si="10"/>
        <v>0</v>
      </c>
      <c r="M59" s="19">
        <v>47022</v>
      </c>
      <c r="N59" s="19">
        <v>47022</v>
      </c>
      <c r="O59" s="2">
        <f t="shared" si="11"/>
        <v>0</v>
      </c>
      <c r="P59" s="2" t="s">
        <v>7</v>
      </c>
      <c r="U59" s="3"/>
    </row>
    <row r="60" spans="1:21" s="46" customFormat="1">
      <c r="A60" s="8" t="s">
        <v>424</v>
      </c>
      <c r="B60" s="8" t="s">
        <v>427</v>
      </c>
      <c r="C60" s="8" t="s">
        <v>446</v>
      </c>
      <c r="D60" s="8" t="s">
        <v>447</v>
      </c>
      <c r="E60" s="9" t="s">
        <v>221</v>
      </c>
      <c r="F60" s="64">
        <v>4315.9356892773894</v>
      </c>
      <c r="G60" s="19">
        <v>46908</v>
      </c>
      <c r="H60" s="19">
        <v>46908</v>
      </c>
      <c r="I60" s="2">
        <f t="shared" si="9"/>
        <v>0</v>
      </c>
      <c r="J60" s="19">
        <v>47007</v>
      </c>
      <c r="K60" s="19">
        <v>47007</v>
      </c>
      <c r="L60" s="2">
        <f t="shared" si="10"/>
        <v>0</v>
      </c>
      <c r="M60" s="19">
        <v>47031</v>
      </c>
      <c r="N60" s="19">
        <v>47031</v>
      </c>
      <c r="O60" s="2">
        <f t="shared" si="11"/>
        <v>0</v>
      </c>
      <c r="P60" s="2" t="s">
        <v>7</v>
      </c>
      <c r="U60" s="3"/>
    </row>
    <row r="61" spans="1:21" s="46" customFormat="1">
      <c r="A61" s="8" t="s">
        <v>424</v>
      </c>
      <c r="B61" s="8" t="s">
        <v>427</v>
      </c>
      <c r="C61" s="8" t="s">
        <v>448</v>
      </c>
      <c r="D61" s="8" t="s">
        <v>449</v>
      </c>
      <c r="E61" s="9" t="s">
        <v>221</v>
      </c>
      <c r="F61" s="64">
        <v>6904.711854207595</v>
      </c>
      <c r="G61" s="19">
        <v>46913</v>
      </c>
      <c r="H61" s="19">
        <v>46913</v>
      </c>
      <c r="I61" s="2">
        <f t="shared" si="9"/>
        <v>0</v>
      </c>
      <c r="J61" s="19">
        <v>47009</v>
      </c>
      <c r="K61" s="19">
        <v>47009</v>
      </c>
      <c r="L61" s="2">
        <f t="shared" si="10"/>
        <v>0</v>
      </c>
      <c r="M61" s="19">
        <v>47033</v>
      </c>
      <c r="N61" s="19">
        <v>47033</v>
      </c>
      <c r="O61" s="2">
        <f t="shared" si="11"/>
        <v>0</v>
      </c>
      <c r="P61" s="2" t="s">
        <v>7</v>
      </c>
      <c r="U61" s="3"/>
    </row>
    <row r="62" spans="1:21" s="46" customFormat="1">
      <c r="A62" s="8" t="s">
        <v>424</v>
      </c>
      <c r="B62" s="8" t="s">
        <v>427</v>
      </c>
      <c r="C62" s="8" t="s">
        <v>450</v>
      </c>
      <c r="D62" s="8" t="s">
        <v>451</v>
      </c>
      <c r="E62" s="9" t="s">
        <v>221</v>
      </c>
      <c r="F62" s="64">
        <v>15235.052144780015</v>
      </c>
      <c r="G62" s="19">
        <v>46926</v>
      </c>
      <c r="H62" s="19">
        <v>46926</v>
      </c>
      <c r="I62" s="2">
        <f t="shared" si="9"/>
        <v>0</v>
      </c>
      <c r="J62" s="19">
        <v>47024</v>
      </c>
      <c r="K62" s="19">
        <v>47024</v>
      </c>
      <c r="L62" s="2">
        <f t="shared" si="10"/>
        <v>0</v>
      </c>
      <c r="M62" s="19">
        <v>47048</v>
      </c>
      <c r="N62" s="19">
        <v>47048</v>
      </c>
      <c r="O62" s="2">
        <f t="shared" si="11"/>
        <v>0</v>
      </c>
      <c r="P62" s="2" t="s">
        <v>7</v>
      </c>
      <c r="U62" s="3"/>
    </row>
    <row r="63" spans="1:21" s="46" customFormat="1">
      <c r="A63" s="8" t="s">
        <v>424</v>
      </c>
      <c r="B63" s="8" t="s">
        <v>427</v>
      </c>
      <c r="C63" s="8" t="s">
        <v>452</v>
      </c>
      <c r="D63" s="8" t="s">
        <v>453</v>
      </c>
      <c r="E63" s="9" t="s">
        <v>221</v>
      </c>
      <c r="F63" s="64">
        <v>14445.808378845291</v>
      </c>
      <c r="G63" s="19">
        <v>46944</v>
      </c>
      <c r="H63" s="19">
        <v>46944</v>
      </c>
      <c r="I63" s="2">
        <f t="shared" si="9"/>
        <v>0</v>
      </c>
      <c r="J63" s="19">
        <v>47040</v>
      </c>
      <c r="K63" s="19">
        <v>47040</v>
      </c>
      <c r="L63" s="2">
        <f t="shared" si="10"/>
        <v>0</v>
      </c>
      <c r="M63" s="19">
        <v>47063</v>
      </c>
      <c r="N63" s="19">
        <v>47063</v>
      </c>
      <c r="O63" s="2">
        <f t="shared" si="11"/>
        <v>0</v>
      </c>
      <c r="P63" s="2" t="s">
        <v>7</v>
      </c>
      <c r="U63" s="3"/>
    </row>
    <row r="64" spans="1:21" s="46" customFormat="1">
      <c r="A64" s="8" t="s">
        <v>424</v>
      </c>
      <c r="B64" s="8" t="s">
        <v>427</v>
      </c>
      <c r="C64" s="8" t="s">
        <v>454</v>
      </c>
      <c r="D64" s="8" t="s">
        <v>455</v>
      </c>
      <c r="E64" s="9" t="s">
        <v>221</v>
      </c>
      <c r="F64" s="64">
        <v>4142.3365037327521</v>
      </c>
      <c r="G64" s="19">
        <v>46945</v>
      </c>
      <c r="H64" s="19">
        <v>46945</v>
      </c>
      <c r="I64" s="2">
        <f t="shared" si="9"/>
        <v>0</v>
      </c>
      <c r="J64" s="19">
        <v>47041</v>
      </c>
      <c r="K64" s="19">
        <v>47041</v>
      </c>
      <c r="L64" s="2">
        <f t="shared" si="10"/>
        <v>0</v>
      </c>
      <c r="M64" s="19">
        <v>47064</v>
      </c>
      <c r="N64" s="19">
        <v>47064</v>
      </c>
      <c r="O64" s="2">
        <f t="shared" si="11"/>
        <v>0</v>
      </c>
      <c r="P64" s="2" t="s">
        <v>7</v>
      </c>
      <c r="U64" s="3"/>
    </row>
    <row r="65" spans="1:21" s="46" customFormat="1">
      <c r="A65" s="8" t="s">
        <v>424</v>
      </c>
      <c r="B65" s="8" t="s">
        <v>427</v>
      </c>
      <c r="C65" s="8" t="s">
        <v>456</v>
      </c>
      <c r="D65" s="8" t="s">
        <v>457</v>
      </c>
      <c r="E65" s="9" t="s">
        <v>221</v>
      </c>
      <c r="F65" s="64">
        <v>8833.8220027112984</v>
      </c>
      <c r="G65" s="19">
        <v>46948</v>
      </c>
      <c r="H65" s="19">
        <v>46948</v>
      </c>
      <c r="I65" s="2">
        <f t="shared" si="9"/>
        <v>0</v>
      </c>
      <c r="J65" s="19">
        <v>47045</v>
      </c>
      <c r="K65" s="19">
        <v>47045</v>
      </c>
      <c r="L65" s="2">
        <f t="shared" si="10"/>
        <v>0</v>
      </c>
      <c r="M65" s="19">
        <v>47068</v>
      </c>
      <c r="N65" s="19">
        <v>47068</v>
      </c>
      <c r="O65" s="2">
        <f t="shared" si="11"/>
        <v>0</v>
      </c>
      <c r="P65" s="2" t="s">
        <v>7</v>
      </c>
      <c r="U65" s="3"/>
    </row>
    <row r="66" spans="1:21" s="46" customFormat="1">
      <c r="A66" s="8" t="s">
        <v>424</v>
      </c>
      <c r="B66" s="8" t="s">
        <v>427</v>
      </c>
      <c r="C66" s="8" t="s">
        <v>458</v>
      </c>
      <c r="D66" s="8" t="s">
        <v>459</v>
      </c>
      <c r="E66" s="9" t="s">
        <v>221</v>
      </c>
      <c r="F66" s="64">
        <v>7974.742510957054</v>
      </c>
      <c r="G66" s="19">
        <v>46954</v>
      </c>
      <c r="H66" s="19">
        <v>46954</v>
      </c>
      <c r="I66" s="2">
        <f t="shared" si="9"/>
        <v>0</v>
      </c>
      <c r="J66" s="19">
        <v>47049</v>
      </c>
      <c r="K66" s="19">
        <v>47049</v>
      </c>
      <c r="L66" s="2">
        <f t="shared" si="10"/>
        <v>0</v>
      </c>
      <c r="M66" s="19">
        <v>47072</v>
      </c>
      <c r="N66" s="19">
        <v>47072</v>
      </c>
      <c r="O66" s="2">
        <f t="shared" si="11"/>
        <v>0</v>
      </c>
      <c r="P66" s="2" t="s">
        <v>7</v>
      </c>
      <c r="U66" s="3"/>
    </row>
    <row r="67" spans="1:21" s="46" customFormat="1">
      <c r="A67" s="8" t="s">
        <v>424</v>
      </c>
      <c r="B67" s="8" t="s">
        <v>428</v>
      </c>
      <c r="C67" s="8" t="s">
        <v>460</v>
      </c>
      <c r="D67" s="8" t="s">
        <v>461</v>
      </c>
      <c r="E67" s="9" t="s">
        <v>221</v>
      </c>
      <c r="F67" s="64">
        <v>3307.880251980916</v>
      </c>
      <c r="G67" s="19">
        <v>46956</v>
      </c>
      <c r="H67" s="19">
        <v>46956</v>
      </c>
      <c r="I67" s="2">
        <f t="shared" si="9"/>
        <v>0</v>
      </c>
      <c r="J67" s="19">
        <v>47050</v>
      </c>
      <c r="K67" s="19">
        <v>47050</v>
      </c>
      <c r="L67" s="2">
        <f t="shared" si="10"/>
        <v>0</v>
      </c>
      <c r="M67" s="19">
        <v>47073</v>
      </c>
      <c r="N67" s="19">
        <v>47073</v>
      </c>
      <c r="O67" s="2">
        <f t="shared" si="11"/>
        <v>0</v>
      </c>
      <c r="P67" s="2" t="s">
        <v>7</v>
      </c>
      <c r="U67" s="3"/>
    </row>
    <row r="68" spans="1:21" s="46" customFormat="1">
      <c r="A68" s="8" t="s">
        <v>424</v>
      </c>
      <c r="B68" s="8" t="s">
        <v>428</v>
      </c>
      <c r="C68" s="8" t="s">
        <v>462</v>
      </c>
      <c r="D68" s="8" t="s">
        <v>463</v>
      </c>
      <c r="E68" s="9" t="s">
        <v>221</v>
      </c>
      <c r="F68" s="64">
        <v>10514.308514180691</v>
      </c>
      <c r="G68" s="19">
        <v>46962</v>
      </c>
      <c r="H68" s="19">
        <v>46962</v>
      </c>
      <c r="I68" s="2">
        <f t="shared" si="9"/>
        <v>0</v>
      </c>
      <c r="J68" s="19">
        <v>47056</v>
      </c>
      <c r="K68" s="19">
        <v>47056</v>
      </c>
      <c r="L68" s="2">
        <f t="shared" si="10"/>
        <v>0</v>
      </c>
      <c r="M68" s="19">
        <v>47079</v>
      </c>
      <c r="N68" s="19">
        <v>47079</v>
      </c>
      <c r="O68" s="2">
        <f t="shared" si="11"/>
        <v>0</v>
      </c>
      <c r="P68" s="2" t="s">
        <v>7</v>
      </c>
      <c r="U68" s="3"/>
    </row>
    <row r="69" spans="1:21" s="46" customFormat="1">
      <c r="A69" s="8" t="s">
        <v>424</v>
      </c>
      <c r="B69" s="8" t="s">
        <v>428</v>
      </c>
      <c r="C69" s="8" t="s">
        <v>464</v>
      </c>
      <c r="D69" s="8" t="s">
        <v>465</v>
      </c>
      <c r="E69" s="9" t="s">
        <v>221</v>
      </c>
      <c r="F69" s="64">
        <v>4840.8377192336065</v>
      </c>
      <c r="G69" s="19">
        <v>46964</v>
      </c>
      <c r="H69" s="19">
        <v>46964</v>
      </c>
      <c r="I69" s="2">
        <f t="shared" si="9"/>
        <v>0</v>
      </c>
      <c r="J69" s="19">
        <v>47059</v>
      </c>
      <c r="K69" s="19">
        <v>47059</v>
      </c>
      <c r="L69" s="2">
        <f t="shared" si="10"/>
        <v>0</v>
      </c>
      <c r="M69" s="19">
        <v>47082</v>
      </c>
      <c r="N69" s="19">
        <v>47082</v>
      </c>
      <c r="O69" s="2">
        <f t="shared" si="11"/>
        <v>0</v>
      </c>
      <c r="P69" s="2" t="s">
        <v>7</v>
      </c>
      <c r="U69" s="3"/>
    </row>
    <row r="70" spans="1:21" s="46" customFormat="1">
      <c r="A70" s="8" t="s">
        <v>424</v>
      </c>
      <c r="B70" s="8" t="s">
        <v>428</v>
      </c>
      <c r="C70" s="8" t="s">
        <v>466</v>
      </c>
      <c r="D70" s="8" t="s">
        <v>467</v>
      </c>
      <c r="E70" s="9" t="s">
        <v>221</v>
      </c>
      <c r="F70" s="64">
        <v>10575.002908751863</v>
      </c>
      <c r="G70" s="19">
        <v>46970</v>
      </c>
      <c r="H70" s="19">
        <v>46970</v>
      </c>
      <c r="I70" s="2">
        <f t="shared" si="9"/>
        <v>0</v>
      </c>
      <c r="J70" s="19">
        <v>47064</v>
      </c>
      <c r="K70" s="19">
        <v>47064</v>
      </c>
      <c r="L70" s="2">
        <f t="shared" si="10"/>
        <v>0</v>
      </c>
      <c r="M70" s="19">
        <v>47087</v>
      </c>
      <c r="N70" s="19">
        <v>47087</v>
      </c>
      <c r="O70" s="2">
        <f t="shared" si="11"/>
        <v>0</v>
      </c>
      <c r="P70" s="2" t="s">
        <v>7</v>
      </c>
      <c r="U70" s="3"/>
    </row>
    <row r="71" spans="1:21" s="46" customFormat="1">
      <c r="A71" s="8" t="s">
        <v>424</v>
      </c>
      <c r="B71" s="8" t="s">
        <v>428</v>
      </c>
      <c r="C71" s="8" t="s">
        <v>468</v>
      </c>
      <c r="D71" s="8" t="s">
        <v>469</v>
      </c>
      <c r="E71" s="9" t="s">
        <v>221</v>
      </c>
      <c r="F71" s="64">
        <v>11205.202312439493</v>
      </c>
      <c r="G71" s="19">
        <v>46976</v>
      </c>
      <c r="H71" s="19">
        <v>46976</v>
      </c>
      <c r="I71" s="2">
        <f t="shared" si="9"/>
        <v>0</v>
      </c>
      <c r="J71" s="19">
        <v>47070</v>
      </c>
      <c r="K71" s="19">
        <v>47070</v>
      </c>
      <c r="L71" s="2">
        <f t="shared" si="10"/>
        <v>0</v>
      </c>
      <c r="M71" s="19">
        <v>47093</v>
      </c>
      <c r="N71" s="19">
        <v>47093</v>
      </c>
      <c r="O71" s="2">
        <f t="shared" si="11"/>
        <v>0</v>
      </c>
      <c r="P71" s="2" t="s">
        <v>7</v>
      </c>
      <c r="U71" s="3"/>
    </row>
    <row r="72" spans="1:21" s="46" customFormat="1" ht="14">
      <c r="A72" s="8" t="s">
        <v>424</v>
      </c>
      <c r="B72" s="8" t="s">
        <v>428</v>
      </c>
      <c r="C72" s="8" t="s">
        <v>470</v>
      </c>
      <c r="D72" s="8" t="s">
        <v>471</v>
      </c>
      <c r="E72" s="9" t="s">
        <v>221</v>
      </c>
      <c r="F72" s="64">
        <v>5603.037525093504</v>
      </c>
      <c r="G72" s="145">
        <v>46978</v>
      </c>
      <c r="H72" s="145">
        <v>46978</v>
      </c>
      <c r="I72" s="2">
        <f t="shared" si="9"/>
        <v>0</v>
      </c>
      <c r="J72" s="145">
        <v>47073</v>
      </c>
      <c r="K72" s="145">
        <v>47073</v>
      </c>
      <c r="L72" s="2">
        <f t="shared" si="10"/>
        <v>0</v>
      </c>
      <c r="M72" s="145">
        <v>47094</v>
      </c>
      <c r="N72" s="145">
        <v>47094</v>
      </c>
      <c r="O72" s="2">
        <f t="shared" si="11"/>
        <v>0</v>
      </c>
      <c r="P72" s="136" t="s">
        <v>582</v>
      </c>
      <c r="U72" s="3"/>
    </row>
    <row r="73" spans="1:21" s="46" customFormat="1">
      <c r="T73" s="3"/>
      <c r="U73" s="3"/>
    </row>
    <row r="74" spans="1:21" s="46" customFormat="1">
      <c r="T74" s="3"/>
      <c r="U74" s="3"/>
    </row>
    <row r="75" spans="1:21" s="46" customFormat="1">
      <c r="T75" s="3"/>
      <c r="U75" s="3"/>
    </row>
    <row r="76" spans="1:21" s="46" customFormat="1">
      <c r="T76" s="3"/>
      <c r="U76" s="3"/>
    </row>
    <row r="77" spans="1:21" s="46" customFormat="1">
      <c r="T77" s="3"/>
      <c r="U77" s="3"/>
    </row>
    <row r="78" spans="1:21" s="46" customFormat="1">
      <c r="T78" s="3"/>
      <c r="U78" s="3"/>
    </row>
    <row r="79" spans="1:21" s="46" customFormat="1">
      <c r="T79" s="3"/>
      <c r="U79" s="3"/>
    </row>
    <row r="80" spans="1:21" s="46" customFormat="1">
      <c r="T80" s="3"/>
      <c r="U80" s="3"/>
    </row>
    <row r="81" spans="2:15" s="46" customFormat="1">
      <c r="B81" s="3"/>
      <c r="C81" s="3"/>
      <c r="G81" s="4"/>
      <c r="H81" s="4"/>
      <c r="I81" s="4"/>
      <c r="J81" s="4"/>
      <c r="K81" s="4"/>
      <c r="L81" s="4"/>
      <c r="M81" s="4"/>
      <c r="N81" s="4"/>
      <c r="O81" s="6"/>
    </row>
    <row r="82" spans="2:15" s="46" customFormat="1">
      <c r="B82" s="3"/>
      <c r="C82" s="3"/>
      <c r="G82" s="4"/>
      <c r="H82" s="4"/>
      <c r="I82" s="4"/>
      <c r="J82" s="4"/>
      <c r="K82" s="4"/>
      <c r="L82" s="4"/>
      <c r="M82" s="4"/>
      <c r="N82" s="4"/>
      <c r="O82" s="6"/>
    </row>
    <row r="83" spans="2:15" s="46" customFormat="1">
      <c r="B83" s="3"/>
      <c r="C83" s="3"/>
      <c r="G83" s="4"/>
      <c r="H83" s="4"/>
      <c r="I83" s="4"/>
      <c r="J83" s="4"/>
      <c r="K83" s="4"/>
      <c r="L83" s="4"/>
      <c r="M83" s="4"/>
      <c r="N83" s="4"/>
      <c r="O83" s="6"/>
    </row>
    <row r="84" spans="2:15" s="46" customFormat="1">
      <c r="B84" s="3"/>
      <c r="C84" s="3"/>
      <c r="G84" s="4"/>
      <c r="H84" s="4"/>
      <c r="I84" s="4"/>
      <c r="J84" s="4"/>
      <c r="K84" s="4"/>
      <c r="L84" s="4"/>
      <c r="M84" s="4"/>
      <c r="N84" s="4"/>
      <c r="O84" s="6"/>
    </row>
    <row r="85" spans="2:15" s="46" customFormat="1">
      <c r="B85" s="3"/>
      <c r="C85" s="3"/>
      <c r="G85" s="4"/>
      <c r="H85" s="4"/>
      <c r="I85" s="4"/>
      <c r="J85" s="4"/>
      <c r="K85" s="4"/>
      <c r="L85" s="4"/>
      <c r="M85" s="4"/>
      <c r="N85" s="4"/>
      <c r="O85" s="6"/>
    </row>
    <row r="86" spans="2:15" s="46" customFormat="1">
      <c r="B86" s="3"/>
      <c r="C86" s="3"/>
      <c r="G86" s="4"/>
      <c r="H86" s="4"/>
      <c r="I86" s="4"/>
      <c r="J86" s="4"/>
      <c r="K86" s="4"/>
      <c r="L86" s="4"/>
      <c r="M86" s="4"/>
      <c r="N86" s="4"/>
      <c r="O86" s="6"/>
    </row>
    <row r="87" spans="2:15" s="46" customFormat="1">
      <c r="B87" s="3"/>
      <c r="C87" s="3"/>
      <c r="G87" s="4"/>
      <c r="H87" s="4"/>
      <c r="I87" s="4"/>
      <c r="J87" s="4"/>
      <c r="K87" s="4"/>
      <c r="L87" s="4"/>
      <c r="M87" s="4"/>
      <c r="N87" s="4"/>
      <c r="O87" s="6"/>
    </row>
    <row r="88" spans="2:15" s="46" customFormat="1">
      <c r="B88" s="3"/>
      <c r="C88" s="3"/>
      <c r="G88" s="4"/>
      <c r="H88" s="4"/>
      <c r="I88" s="4"/>
      <c r="J88" s="4"/>
      <c r="K88" s="4"/>
      <c r="L88" s="4"/>
      <c r="M88" s="4"/>
      <c r="N88" s="4"/>
      <c r="O88" s="6"/>
    </row>
    <row r="89" spans="2:15" s="46" customFormat="1">
      <c r="B89" s="3"/>
      <c r="C89" s="3"/>
      <c r="G89" s="4"/>
      <c r="H89" s="4"/>
      <c r="I89" s="4"/>
      <c r="J89" s="4"/>
      <c r="K89" s="4"/>
      <c r="L89" s="4"/>
      <c r="M89" s="4"/>
      <c r="N89" s="4"/>
      <c r="O89" s="6"/>
    </row>
    <row r="90" spans="2:15" s="46" customFormat="1">
      <c r="B90" s="3"/>
      <c r="C90" s="3"/>
      <c r="G90" s="4"/>
      <c r="H90" s="4"/>
      <c r="I90" s="4"/>
      <c r="J90" s="4"/>
      <c r="K90" s="4"/>
      <c r="L90" s="4"/>
      <c r="M90" s="4"/>
      <c r="N90" s="4"/>
      <c r="O90" s="6"/>
    </row>
    <row r="91" spans="2:15" s="46" customFormat="1">
      <c r="B91" s="3"/>
      <c r="C91" s="3"/>
      <c r="G91" s="4"/>
      <c r="H91" s="4"/>
      <c r="I91" s="4"/>
      <c r="J91" s="4"/>
      <c r="K91" s="4"/>
      <c r="L91" s="4"/>
      <c r="M91" s="4"/>
      <c r="N91" s="4"/>
      <c r="O91" s="6"/>
    </row>
    <row r="92" spans="2:15" s="46" customFormat="1">
      <c r="B92" s="3"/>
      <c r="C92" s="3"/>
      <c r="G92" s="4"/>
      <c r="H92" s="4"/>
      <c r="I92" s="4"/>
      <c r="J92" s="4"/>
      <c r="K92" s="4"/>
      <c r="L92" s="4"/>
      <c r="M92" s="4"/>
      <c r="N92" s="4"/>
      <c r="O92" s="6"/>
    </row>
    <row r="93" spans="2:15" s="46" customFormat="1">
      <c r="B93" s="3"/>
      <c r="C93" s="3"/>
      <c r="G93" s="4"/>
      <c r="H93" s="4"/>
      <c r="I93" s="4"/>
      <c r="J93" s="4"/>
      <c r="K93" s="4"/>
      <c r="L93" s="4"/>
      <c r="M93" s="4"/>
      <c r="N93" s="4"/>
      <c r="O93" s="6"/>
    </row>
    <row r="94" spans="2:15" s="46" customFormat="1">
      <c r="B94" s="3"/>
      <c r="C94" s="3"/>
      <c r="G94" s="4"/>
      <c r="H94" s="4"/>
      <c r="I94" s="4"/>
      <c r="J94" s="4"/>
      <c r="K94" s="4"/>
      <c r="L94" s="4"/>
      <c r="M94" s="4"/>
      <c r="N94" s="4"/>
      <c r="O94" s="6"/>
    </row>
    <row r="95" spans="2:15" s="46" customFormat="1">
      <c r="B95" s="3"/>
      <c r="C95" s="3"/>
      <c r="G95" s="4"/>
      <c r="H95" s="4"/>
      <c r="I95" s="4"/>
      <c r="J95" s="4"/>
      <c r="K95" s="4"/>
      <c r="L95" s="4"/>
      <c r="M95" s="4"/>
      <c r="N95" s="4"/>
      <c r="O95" s="6"/>
    </row>
    <row r="96" spans="2:15" s="46" customFormat="1">
      <c r="B96" s="3"/>
      <c r="C96" s="3"/>
      <c r="G96" s="4"/>
      <c r="H96" s="4"/>
      <c r="I96" s="4"/>
      <c r="J96" s="4"/>
      <c r="K96" s="4"/>
      <c r="L96" s="4"/>
      <c r="M96" s="4"/>
      <c r="N96" s="4"/>
      <c r="O96" s="6"/>
    </row>
    <row r="97" spans="2:15" s="46" customFormat="1">
      <c r="B97" s="3"/>
      <c r="C97" s="3"/>
      <c r="G97" s="4"/>
      <c r="H97" s="4"/>
      <c r="I97" s="4"/>
      <c r="J97" s="4"/>
      <c r="K97" s="4"/>
      <c r="L97" s="4"/>
      <c r="M97" s="4"/>
      <c r="N97" s="4"/>
      <c r="O97" s="6"/>
    </row>
    <row r="98" spans="2:15" s="46" customFormat="1">
      <c r="B98" s="3"/>
      <c r="C98" s="3"/>
      <c r="G98" s="4"/>
      <c r="H98" s="4"/>
      <c r="I98" s="4"/>
      <c r="J98" s="4"/>
      <c r="K98" s="4"/>
      <c r="L98" s="4"/>
      <c r="M98" s="4"/>
      <c r="N98" s="4"/>
      <c r="O98" s="6"/>
    </row>
    <row r="99" spans="2:15" s="46" customFormat="1">
      <c r="B99" s="3"/>
      <c r="C99" s="3"/>
      <c r="G99" s="4"/>
      <c r="H99" s="4"/>
      <c r="I99" s="4"/>
      <c r="J99" s="4"/>
      <c r="K99" s="4"/>
      <c r="L99" s="4"/>
      <c r="M99" s="4"/>
      <c r="N99" s="4"/>
      <c r="O99" s="6"/>
    </row>
    <row r="100" spans="2:15" s="46" customFormat="1">
      <c r="B100" s="3"/>
      <c r="C100" s="3"/>
      <c r="G100" s="4"/>
      <c r="H100" s="4"/>
      <c r="I100" s="4"/>
      <c r="J100" s="4"/>
      <c r="K100" s="4"/>
      <c r="L100" s="4"/>
      <c r="M100" s="4"/>
      <c r="N100" s="4"/>
      <c r="O100" s="6"/>
    </row>
    <row r="101" spans="2:15" s="46" customFormat="1">
      <c r="B101" s="3"/>
      <c r="C101" s="3"/>
      <c r="G101" s="4"/>
      <c r="H101" s="4"/>
      <c r="I101" s="4"/>
      <c r="J101" s="4"/>
      <c r="K101" s="4"/>
      <c r="L101" s="4"/>
      <c r="M101" s="4"/>
      <c r="N101" s="4"/>
      <c r="O101" s="6"/>
    </row>
    <row r="102" spans="2:15" s="46" customFormat="1">
      <c r="B102" s="3"/>
      <c r="C102" s="3"/>
      <c r="G102" s="4"/>
      <c r="H102" s="4"/>
      <c r="I102" s="4"/>
      <c r="J102" s="4"/>
      <c r="K102" s="4"/>
      <c r="L102" s="4"/>
      <c r="M102" s="4"/>
      <c r="N102" s="4"/>
      <c r="O102" s="6"/>
    </row>
    <row r="103" spans="2:15" s="46" customFormat="1">
      <c r="B103" s="3"/>
      <c r="C103" s="3"/>
      <c r="G103" s="4"/>
      <c r="H103" s="4"/>
      <c r="I103" s="4"/>
      <c r="J103" s="4"/>
      <c r="K103" s="4"/>
      <c r="L103" s="4"/>
      <c r="M103" s="4"/>
      <c r="N103" s="4"/>
      <c r="O103" s="6"/>
    </row>
    <row r="104" spans="2:15" s="46" customFormat="1">
      <c r="B104" s="3"/>
      <c r="C104" s="3"/>
      <c r="G104" s="4"/>
      <c r="H104" s="4"/>
      <c r="I104" s="4"/>
      <c r="J104" s="4"/>
      <c r="K104" s="4"/>
      <c r="L104" s="4"/>
      <c r="M104" s="4"/>
      <c r="N104" s="4"/>
      <c r="O104" s="6"/>
    </row>
    <row r="105" spans="2:15" s="46" customFormat="1">
      <c r="B105" s="3"/>
      <c r="C105" s="3"/>
      <c r="G105" s="4"/>
      <c r="H105" s="4"/>
      <c r="I105" s="4"/>
      <c r="J105" s="4"/>
      <c r="K105" s="4"/>
      <c r="L105" s="4"/>
      <c r="M105" s="4"/>
      <c r="N105" s="4"/>
      <c r="O105" s="6"/>
    </row>
    <row r="106" spans="2:15" s="46" customFormat="1">
      <c r="B106" s="3"/>
      <c r="C106" s="3"/>
      <c r="G106" s="4"/>
      <c r="H106" s="4"/>
      <c r="I106" s="4"/>
      <c r="J106" s="4"/>
      <c r="K106" s="4"/>
      <c r="L106" s="4"/>
      <c r="M106" s="4"/>
      <c r="N106" s="4"/>
      <c r="O106" s="6"/>
    </row>
    <row r="107" spans="2:15" s="46" customFormat="1">
      <c r="B107" s="3"/>
      <c r="C107" s="3"/>
      <c r="G107" s="4"/>
      <c r="H107" s="4"/>
      <c r="I107" s="4"/>
      <c r="J107" s="4"/>
      <c r="K107" s="4"/>
      <c r="L107" s="4"/>
      <c r="M107" s="4"/>
      <c r="N107" s="4"/>
      <c r="O107" s="6"/>
    </row>
    <row r="108" spans="2:15" s="46" customFormat="1">
      <c r="B108" s="3"/>
      <c r="C108" s="3"/>
      <c r="G108" s="4"/>
      <c r="H108" s="4"/>
      <c r="I108" s="4"/>
      <c r="J108" s="4"/>
      <c r="K108" s="4"/>
      <c r="L108" s="4"/>
      <c r="M108" s="4"/>
      <c r="N108" s="4"/>
      <c r="O108" s="6"/>
    </row>
    <row r="109" spans="2:15" s="46" customFormat="1">
      <c r="B109" s="3"/>
      <c r="C109" s="3"/>
      <c r="G109" s="4"/>
      <c r="H109" s="4"/>
      <c r="I109" s="4"/>
      <c r="J109" s="4"/>
      <c r="K109" s="4"/>
      <c r="L109" s="4"/>
      <c r="M109" s="4"/>
      <c r="N109" s="4"/>
      <c r="O109" s="6"/>
    </row>
    <row r="110" spans="2:15" s="46" customFormat="1">
      <c r="B110" s="3"/>
      <c r="C110" s="3"/>
      <c r="G110" s="4"/>
      <c r="H110" s="4"/>
      <c r="I110" s="4"/>
      <c r="J110" s="4"/>
      <c r="K110" s="4"/>
      <c r="L110" s="4"/>
      <c r="M110" s="4"/>
      <c r="N110" s="4"/>
      <c r="O110" s="6"/>
    </row>
    <row r="111" spans="2:15" s="46" customFormat="1">
      <c r="B111" s="3"/>
      <c r="C111" s="3"/>
      <c r="G111" s="4"/>
      <c r="H111" s="4"/>
      <c r="I111" s="4"/>
      <c r="J111" s="4"/>
      <c r="K111" s="4"/>
      <c r="L111" s="4"/>
      <c r="M111" s="4"/>
      <c r="N111" s="4"/>
      <c r="O111" s="6"/>
    </row>
    <row r="112" spans="2:15" s="46" customFormat="1">
      <c r="B112" s="3"/>
      <c r="C112" s="3"/>
      <c r="G112" s="4"/>
      <c r="H112" s="4"/>
      <c r="I112" s="4"/>
      <c r="J112" s="4"/>
      <c r="K112" s="4"/>
      <c r="L112" s="4"/>
      <c r="M112" s="4"/>
      <c r="N112" s="4"/>
      <c r="O112" s="6"/>
    </row>
    <row r="113" spans="2:15" s="46" customFormat="1">
      <c r="B113" s="3"/>
      <c r="C113" s="3"/>
      <c r="G113" s="4"/>
      <c r="H113" s="4"/>
      <c r="I113" s="4"/>
      <c r="J113" s="4"/>
      <c r="K113" s="4"/>
      <c r="L113" s="4"/>
      <c r="M113" s="4"/>
      <c r="N113" s="4"/>
      <c r="O113" s="6"/>
    </row>
    <row r="114" spans="2:15" s="46" customFormat="1">
      <c r="B114" s="3"/>
      <c r="C114" s="3"/>
      <c r="G114" s="4"/>
      <c r="H114" s="4"/>
      <c r="I114" s="4"/>
      <c r="J114" s="4"/>
      <c r="K114" s="4"/>
      <c r="L114" s="4"/>
      <c r="M114" s="4"/>
      <c r="N114" s="4"/>
      <c r="O114" s="6"/>
    </row>
    <row r="115" spans="2:15" s="46" customFormat="1">
      <c r="B115" s="3"/>
      <c r="C115" s="3"/>
      <c r="G115" s="4"/>
      <c r="H115" s="4"/>
      <c r="I115" s="4"/>
      <c r="J115" s="4"/>
      <c r="K115" s="4"/>
      <c r="L115" s="4"/>
      <c r="M115" s="4"/>
      <c r="N115" s="4"/>
      <c r="O115" s="6"/>
    </row>
    <row r="116" spans="2:15" s="46" customFormat="1">
      <c r="B116" s="3"/>
      <c r="C116" s="3"/>
      <c r="G116" s="4"/>
      <c r="H116" s="4"/>
      <c r="I116" s="4"/>
      <c r="J116" s="4"/>
      <c r="K116" s="4"/>
      <c r="L116" s="4"/>
      <c r="M116" s="4"/>
      <c r="N116" s="4"/>
      <c r="O116" s="6"/>
    </row>
    <row r="117" spans="2:15" s="46" customFormat="1">
      <c r="B117" s="3"/>
      <c r="C117" s="3"/>
      <c r="G117" s="4"/>
      <c r="H117" s="4"/>
      <c r="I117" s="4"/>
      <c r="J117" s="4"/>
      <c r="K117" s="4"/>
      <c r="L117" s="4"/>
      <c r="M117" s="4"/>
      <c r="N117" s="4"/>
      <c r="O117" s="6"/>
    </row>
    <row r="118" spans="2:15" s="46" customFormat="1">
      <c r="B118" s="3"/>
      <c r="C118" s="3"/>
      <c r="G118" s="4"/>
      <c r="H118" s="4"/>
      <c r="I118" s="4"/>
      <c r="J118" s="4"/>
      <c r="K118" s="4"/>
      <c r="L118" s="4"/>
      <c r="M118" s="4"/>
      <c r="N118" s="4"/>
      <c r="O118" s="6"/>
    </row>
    <row r="119" spans="2:15" s="46" customFormat="1">
      <c r="B119" s="3"/>
      <c r="C119" s="3"/>
      <c r="G119" s="4"/>
      <c r="H119" s="4"/>
      <c r="I119" s="4"/>
      <c r="J119" s="4"/>
      <c r="K119" s="4"/>
      <c r="L119" s="4"/>
      <c r="M119" s="4"/>
      <c r="N119" s="4"/>
      <c r="O119" s="6"/>
    </row>
    <row r="120" spans="2:15" s="46" customFormat="1">
      <c r="B120" s="3"/>
      <c r="C120" s="3"/>
      <c r="G120" s="4"/>
      <c r="H120" s="4"/>
      <c r="I120" s="4"/>
      <c r="J120" s="4"/>
      <c r="K120" s="4"/>
      <c r="L120" s="4"/>
      <c r="M120" s="4"/>
      <c r="N120" s="4"/>
      <c r="O120" s="6"/>
    </row>
    <row r="121" spans="2:15" s="46" customFormat="1">
      <c r="B121" s="3"/>
      <c r="C121" s="3"/>
      <c r="G121" s="4"/>
      <c r="H121" s="4"/>
      <c r="I121" s="4"/>
      <c r="J121" s="4"/>
      <c r="K121" s="4"/>
      <c r="L121" s="4"/>
      <c r="M121" s="4"/>
      <c r="N121" s="4"/>
      <c r="O121" s="6"/>
    </row>
    <row r="122" spans="2:15" s="46" customFormat="1">
      <c r="B122" s="3"/>
      <c r="C122" s="3"/>
      <c r="G122" s="4"/>
      <c r="H122" s="4"/>
      <c r="I122" s="4"/>
      <c r="J122" s="4"/>
      <c r="K122" s="4"/>
      <c r="L122" s="4"/>
      <c r="M122" s="4"/>
      <c r="N122" s="4"/>
      <c r="O122" s="6"/>
    </row>
    <row r="123" spans="2:15" s="46" customFormat="1">
      <c r="B123" s="3"/>
      <c r="C123" s="3"/>
      <c r="G123" s="4"/>
      <c r="H123" s="4"/>
      <c r="I123" s="4"/>
      <c r="J123" s="4"/>
      <c r="K123" s="4"/>
      <c r="L123" s="4"/>
      <c r="M123" s="4"/>
      <c r="N123" s="4"/>
      <c r="O123" s="6"/>
    </row>
    <row r="124" spans="2:15" s="46" customFormat="1">
      <c r="B124" s="3"/>
      <c r="C124" s="3"/>
      <c r="G124" s="4"/>
      <c r="H124" s="4"/>
      <c r="I124" s="4"/>
      <c r="J124" s="4"/>
      <c r="K124" s="4"/>
      <c r="L124" s="4"/>
      <c r="M124" s="4"/>
      <c r="N124" s="4"/>
      <c r="O124" s="6"/>
    </row>
    <row r="125" spans="2:15" s="46" customFormat="1">
      <c r="B125" s="3"/>
      <c r="C125" s="3"/>
      <c r="G125" s="4"/>
      <c r="H125" s="4"/>
      <c r="I125" s="4"/>
      <c r="J125" s="4"/>
      <c r="K125" s="4"/>
      <c r="L125" s="4"/>
      <c r="M125" s="4"/>
      <c r="N125" s="4"/>
      <c r="O125" s="6"/>
    </row>
    <row r="126" spans="2:15" s="46" customFormat="1">
      <c r="B126" s="3"/>
      <c r="C126" s="3"/>
      <c r="G126" s="4"/>
      <c r="H126" s="4"/>
      <c r="I126" s="4"/>
      <c r="J126" s="4"/>
      <c r="K126" s="4"/>
      <c r="L126" s="4"/>
      <c r="M126" s="4"/>
      <c r="N126" s="4"/>
      <c r="O126" s="6"/>
    </row>
    <row r="127" spans="2:15" s="46" customFormat="1">
      <c r="B127" s="3"/>
      <c r="C127" s="3"/>
      <c r="G127" s="4"/>
      <c r="H127" s="4"/>
      <c r="I127" s="4"/>
      <c r="J127" s="4"/>
      <c r="K127" s="4"/>
      <c r="L127" s="4"/>
      <c r="M127" s="4"/>
      <c r="N127" s="4"/>
      <c r="O127" s="6"/>
    </row>
    <row r="128" spans="2:15" s="46" customFormat="1">
      <c r="B128" s="3"/>
      <c r="C128" s="3"/>
      <c r="G128" s="4"/>
      <c r="H128" s="4"/>
      <c r="I128" s="4"/>
      <c r="J128" s="4"/>
      <c r="K128" s="4"/>
      <c r="L128" s="4"/>
      <c r="M128" s="4"/>
      <c r="N128" s="4"/>
      <c r="O128" s="6"/>
    </row>
    <row r="129" spans="2:15" s="46" customFormat="1">
      <c r="B129" s="3"/>
      <c r="C129" s="3"/>
      <c r="G129" s="4"/>
      <c r="H129" s="4"/>
      <c r="I129" s="4"/>
      <c r="J129" s="4"/>
      <c r="K129" s="4"/>
      <c r="L129" s="4"/>
      <c r="M129" s="4"/>
      <c r="N129" s="4"/>
      <c r="O129" s="6"/>
    </row>
    <row r="130" spans="2:15" s="46" customFormat="1">
      <c r="B130" s="3"/>
      <c r="C130" s="3"/>
      <c r="G130" s="4"/>
      <c r="H130" s="4"/>
      <c r="I130" s="4"/>
      <c r="J130" s="4"/>
      <c r="K130" s="4"/>
      <c r="L130" s="4"/>
      <c r="M130" s="4"/>
      <c r="N130" s="4"/>
      <c r="O130" s="6"/>
    </row>
    <row r="131" spans="2:15" s="46" customFormat="1">
      <c r="B131" s="3"/>
      <c r="C131" s="3"/>
      <c r="G131" s="4"/>
      <c r="H131" s="4"/>
      <c r="I131" s="4"/>
      <c r="J131" s="4"/>
      <c r="K131" s="4"/>
      <c r="L131" s="4"/>
      <c r="M131" s="4"/>
      <c r="N131" s="4"/>
      <c r="O131" s="6"/>
    </row>
    <row r="132" spans="2:15" s="46" customFormat="1">
      <c r="B132" s="3"/>
      <c r="C132" s="3"/>
      <c r="G132" s="4"/>
      <c r="H132" s="4"/>
      <c r="I132" s="4"/>
      <c r="J132" s="4"/>
      <c r="K132" s="4"/>
      <c r="L132" s="4"/>
      <c r="M132" s="4"/>
      <c r="N132" s="4"/>
      <c r="O132" s="6"/>
    </row>
    <row r="133" spans="2:15" s="46" customFormat="1">
      <c r="B133" s="3"/>
      <c r="C133" s="3"/>
      <c r="G133" s="4"/>
      <c r="H133" s="4"/>
      <c r="I133" s="4"/>
      <c r="J133" s="4"/>
      <c r="K133" s="4"/>
      <c r="L133" s="4"/>
      <c r="M133" s="4"/>
      <c r="N133" s="4"/>
      <c r="O133" s="6"/>
    </row>
    <row r="134" spans="2:15" s="46" customFormat="1">
      <c r="B134" s="3"/>
      <c r="C134" s="3"/>
      <c r="G134" s="4"/>
      <c r="H134" s="4"/>
      <c r="I134" s="4"/>
      <c r="J134" s="4"/>
      <c r="K134" s="4"/>
      <c r="L134" s="4"/>
      <c r="M134" s="4"/>
      <c r="N134" s="4"/>
      <c r="O134" s="6"/>
    </row>
    <row r="135" spans="2:15" s="46" customFormat="1">
      <c r="B135" s="3"/>
      <c r="C135" s="3"/>
      <c r="G135" s="4"/>
      <c r="H135" s="4"/>
      <c r="I135" s="4"/>
      <c r="J135" s="4"/>
      <c r="K135" s="4"/>
      <c r="L135" s="4"/>
      <c r="M135" s="4"/>
      <c r="N135" s="4"/>
      <c r="O135" s="6"/>
    </row>
    <row r="136" spans="2:15" s="46" customFormat="1">
      <c r="B136" s="3"/>
      <c r="C136" s="3"/>
      <c r="G136" s="4"/>
      <c r="H136" s="4"/>
      <c r="I136" s="4"/>
      <c r="J136" s="4"/>
      <c r="K136" s="4"/>
      <c r="L136" s="4"/>
      <c r="M136" s="4"/>
      <c r="N136" s="4"/>
      <c r="O136" s="6"/>
    </row>
    <row r="137" spans="2:15" s="46" customFormat="1">
      <c r="B137" s="3"/>
      <c r="C137" s="3"/>
      <c r="G137" s="4"/>
      <c r="H137" s="4"/>
      <c r="I137" s="4"/>
      <c r="J137" s="4"/>
      <c r="K137" s="4"/>
      <c r="L137" s="4"/>
      <c r="M137" s="4"/>
      <c r="N137" s="4"/>
      <c r="O137" s="6"/>
    </row>
    <row r="138" spans="2:15" s="46" customFormat="1">
      <c r="B138" s="3"/>
      <c r="C138" s="3"/>
      <c r="G138" s="4"/>
      <c r="H138" s="4"/>
      <c r="I138" s="4"/>
      <c r="J138" s="4"/>
      <c r="K138" s="4"/>
      <c r="L138" s="4"/>
      <c r="M138" s="4"/>
      <c r="N138" s="4"/>
      <c r="O138" s="6"/>
    </row>
    <row r="139" spans="2:15" s="46" customFormat="1">
      <c r="B139" s="3"/>
      <c r="C139" s="3"/>
      <c r="G139" s="4"/>
      <c r="H139" s="4"/>
      <c r="I139" s="4"/>
      <c r="J139" s="4"/>
      <c r="K139" s="4"/>
      <c r="L139" s="4"/>
      <c r="M139" s="4"/>
      <c r="N139" s="4"/>
      <c r="O139" s="6"/>
    </row>
    <row r="140" spans="2:15" s="46" customFormat="1">
      <c r="B140" s="3"/>
      <c r="C140" s="3"/>
      <c r="G140" s="4"/>
      <c r="H140" s="4"/>
      <c r="I140" s="4"/>
      <c r="J140" s="4"/>
      <c r="K140" s="4"/>
      <c r="L140" s="4"/>
      <c r="M140" s="4"/>
      <c r="N140" s="4"/>
      <c r="O140" s="6"/>
    </row>
    <row r="141" spans="2:15" s="46" customFormat="1">
      <c r="B141" s="3"/>
      <c r="C141" s="3"/>
      <c r="G141" s="4"/>
      <c r="H141" s="4"/>
      <c r="I141" s="4"/>
      <c r="J141" s="4"/>
      <c r="K141" s="4"/>
      <c r="L141" s="4"/>
      <c r="M141" s="4"/>
      <c r="N141" s="4"/>
      <c r="O141" s="6"/>
    </row>
    <row r="142" spans="2:15" s="46" customFormat="1">
      <c r="B142" s="3"/>
      <c r="C142" s="3"/>
      <c r="G142" s="4"/>
      <c r="H142" s="4"/>
      <c r="I142" s="4"/>
      <c r="J142" s="4"/>
      <c r="K142" s="4"/>
      <c r="L142" s="4"/>
      <c r="M142" s="4"/>
      <c r="N142" s="4"/>
      <c r="O142" s="6"/>
    </row>
    <row r="143" spans="2:15" s="46" customFormat="1">
      <c r="B143" s="3"/>
      <c r="C143" s="3"/>
      <c r="G143" s="4"/>
      <c r="H143" s="4"/>
      <c r="I143" s="4"/>
      <c r="J143" s="4"/>
      <c r="K143" s="4"/>
      <c r="L143" s="4"/>
      <c r="M143" s="4"/>
      <c r="N143" s="4"/>
      <c r="O143" s="6"/>
    </row>
    <row r="144" spans="2:15" s="46" customFormat="1">
      <c r="B144" s="3"/>
      <c r="C144" s="3"/>
      <c r="G144" s="4"/>
      <c r="H144" s="4"/>
      <c r="I144" s="4"/>
      <c r="J144" s="4"/>
      <c r="K144" s="4"/>
      <c r="L144" s="4"/>
      <c r="M144" s="4"/>
      <c r="N144" s="4"/>
      <c r="O144" s="6"/>
    </row>
    <row r="145" spans="2:15" s="46" customFormat="1">
      <c r="B145" s="3"/>
      <c r="C145" s="3"/>
      <c r="G145" s="4"/>
      <c r="H145" s="4"/>
      <c r="I145" s="4"/>
      <c r="J145" s="4"/>
      <c r="K145" s="4"/>
      <c r="L145" s="4"/>
      <c r="M145" s="4"/>
      <c r="N145" s="4"/>
      <c r="O145" s="6"/>
    </row>
    <row r="146" spans="2:15" s="46" customFormat="1">
      <c r="B146" s="3"/>
      <c r="C146" s="3"/>
      <c r="G146" s="4"/>
      <c r="H146" s="4"/>
      <c r="I146" s="4"/>
      <c r="J146" s="4"/>
      <c r="K146" s="4"/>
      <c r="L146" s="4"/>
      <c r="M146" s="4"/>
      <c r="N146" s="4"/>
      <c r="O146" s="6"/>
    </row>
    <row r="147" spans="2:15" s="46" customFormat="1">
      <c r="B147" s="3"/>
      <c r="C147" s="3"/>
      <c r="G147" s="4"/>
      <c r="H147" s="4"/>
      <c r="I147" s="4"/>
      <c r="J147" s="4"/>
      <c r="K147" s="4"/>
      <c r="L147" s="4"/>
      <c r="M147" s="4"/>
      <c r="N147" s="4"/>
      <c r="O147" s="6"/>
    </row>
    <row r="148" spans="2:15" s="46" customFormat="1">
      <c r="B148" s="3"/>
      <c r="C148" s="3"/>
      <c r="G148" s="4"/>
      <c r="H148" s="4"/>
      <c r="I148" s="4"/>
      <c r="J148" s="4"/>
      <c r="K148" s="4"/>
      <c r="L148" s="4"/>
      <c r="M148" s="4"/>
      <c r="N148" s="4"/>
      <c r="O148" s="6"/>
    </row>
    <row r="149" spans="2:15" s="46" customFormat="1">
      <c r="B149" s="3"/>
      <c r="C149" s="3"/>
      <c r="G149" s="4"/>
      <c r="H149" s="4"/>
      <c r="I149" s="4"/>
      <c r="J149" s="4"/>
      <c r="K149" s="4"/>
      <c r="L149" s="4"/>
      <c r="M149" s="4"/>
      <c r="N149" s="4"/>
      <c r="O149" s="6"/>
    </row>
    <row r="150" spans="2:15" s="46" customFormat="1">
      <c r="B150" s="3"/>
      <c r="C150" s="3"/>
      <c r="G150" s="4"/>
      <c r="H150" s="4"/>
      <c r="I150" s="4"/>
      <c r="J150" s="4"/>
      <c r="K150" s="4"/>
      <c r="L150" s="4"/>
      <c r="M150" s="4"/>
      <c r="N150" s="4"/>
      <c r="O150" s="6"/>
    </row>
    <row r="151" spans="2:15" s="46" customFormat="1">
      <c r="B151" s="3"/>
      <c r="C151" s="3"/>
      <c r="G151" s="4"/>
      <c r="H151" s="4"/>
      <c r="I151" s="4"/>
      <c r="J151" s="4"/>
      <c r="K151" s="4"/>
      <c r="L151" s="4"/>
      <c r="M151" s="4"/>
      <c r="N151" s="4"/>
      <c r="O151" s="6"/>
    </row>
    <row r="152" spans="2:15" s="46" customFormat="1">
      <c r="B152" s="3"/>
      <c r="C152" s="3"/>
      <c r="G152" s="4"/>
      <c r="H152" s="4"/>
      <c r="I152" s="4"/>
      <c r="J152" s="4"/>
      <c r="K152" s="4"/>
      <c r="L152" s="4"/>
      <c r="M152" s="4"/>
      <c r="N152" s="4"/>
      <c r="O152" s="6"/>
    </row>
    <row r="153" spans="2:15" s="46" customFormat="1">
      <c r="B153" s="3"/>
      <c r="C153" s="3"/>
      <c r="G153" s="4"/>
      <c r="H153" s="4"/>
      <c r="I153" s="4"/>
      <c r="J153" s="4"/>
      <c r="K153" s="4"/>
      <c r="L153" s="4"/>
      <c r="M153" s="4"/>
      <c r="N153" s="4"/>
      <c r="O153" s="6"/>
    </row>
    <row r="154" spans="2:15" s="46" customFormat="1">
      <c r="B154" s="3"/>
      <c r="C154" s="3"/>
      <c r="G154" s="4"/>
      <c r="H154" s="4"/>
      <c r="I154" s="4"/>
      <c r="J154" s="4"/>
      <c r="K154" s="4"/>
      <c r="L154" s="4"/>
      <c r="M154" s="4"/>
      <c r="N154" s="4"/>
      <c r="O154" s="6"/>
    </row>
    <row r="155" spans="2:15" s="46" customFormat="1">
      <c r="B155" s="3"/>
      <c r="C155" s="3"/>
      <c r="G155" s="4"/>
      <c r="H155" s="4"/>
      <c r="I155" s="4"/>
      <c r="J155" s="4"/>
      <c r="K155" s="4"/>
      <c r="L155" s="4"/>
      <c r="M155" s="4"/>
      <c r="N155" s="4"/>
      <c r="O155" s="6"/>
    </row>
    <row r="156" spans="2:15" s="46" customFormat="1">
      <c r="B156" s="3"/>
      <c r="C156" s="3"/>
      <c r="G156" s="4"/>
      <c r="H156" s="4"/>
      <c r="I156" s="4"/>
      <c r="J156" s="4"/>
      <c r="K156" s="4"/>
      <c r="L156" s="4"/>
      <c r="M156" s="4"/>
      <c r="N156" s="4"/>
      <c r="O156" s="6"/>
    </row>
    <row r="157" spans="2:15" s="46" customFormat="1">
      <c r="B157" s="3"/>
      <c r="C157" s="3"/>
      <c r="G157" s="4"/>
      <c r="H157" s="4"/>
      <c r="I157" s="4"/>
      <c r="J157" s="4"/>
      <c r="K157" s="4"/>
      <c r="L157" s="4"/>
      <c r="M157" s="4"/>
      <c r="N157" s="4"/>
      <c r="O157" s="6"/>
    </row>
    <row r="158" spans="2:15" s="46" customFormat="1">
      <c r="B158" s="3"/>
      <c r="C158" s="3"/>
      <c r="G158" s="4"/>
      <c r="H158" s="4"/>
      <c r="I158" s="4"/>
      <c r="J158" s="4"/>
      <c r="K158" s="4"/>
      <c r="L158" s="4"/>
      <c r="M158" s="4"/>
      <c r="N158" s="4"/>
      <c r="O158" s="6"/>
    </row>
    <row r="159" spans="2:15" s="46" customFormat="1">
      <c r="B159" s="3"/>
      <c r="C159" s="3"/>
      <c r="G159" s="4"/>
      <c r="H159" s="4"/>
      <c r="I159" s="4"/>
      <c r="J159" s="4"/>
      <c r="K159" s="4"/>
      <c r="L159" s="4"/>
      <c r="M159" s="4"/>
      <c r="N159" s="4"/>
      <c r="O159" s="6"/>
    </row>
    <row r="160" spans="2:15" s="46" customFormat="1">
      <c r="B160" s="3"/>
      <c r="C160" s="3"/>
      <c r="G160" s="4"/>
      <c r="H160" s="4"/>
      <c r="I160" s="4"/>
      <c r="J160" s="4"/>
      <c r="K160" s="4"/>
      <c r="L160" s="4"/>
      <c r="M160" s="4"/>
      <c r="N160" s="4"/>
      <c r="O160" s="6"/>
    </row>
    <row r="161" spans="2:15" s="46" customFormat="1">
      <c r="B161" s="3"/>
      <c r="C161" s="3"/>
      <c r="G161" s="4"/>
      <c r="H161" s="4"/>
      <c r="I161" s="4"/>
      <c r="J161" s="4"/>
      <c r="K161" s="4"/>
      <c r="L161" s="4"/>
      <c r="M161" s="4"/>
      <c r="N161" s="4"/>
      <c r="O161" s="6"/>
    </row>
    <row r="162" spans="2:15" s="46" customFormat="1">
      <c r="B162" s="3"/>
      <c r="C162" s="3"/>
      <c r="G162" s="4"/>
      <c r="H162" s="4"/>
      <c r="I162" s="4"/>
      <c r="J162" s="4"/>
      <c r="K162" s="4"/>
      <c r="L162" s="4"/>
      <c r="M162" s="4"/>
      <c r="N162" s="4"/>
      <c r="O162" s="6"/>
    </row>
    <row r="163" spans="2:15" s="46" customFormat="1">
      <c r="B163" s="3"/>
      <c r="C163" s="3"/>
      <c r="G163" s="4"/>
      <c r="H163" s="4"/>
      <c r="I163" s="4"/>
      <c r="J163" s="4"/>
      <c r="K163" s="4"/>
      <c r="L163" s="4"/>
      <c r="M163" s="4"/>
      <c r="N163" s="4"/>
      <c r="O163" s="6"/>
    </row>
    <row r="164" spans="2:15" s="46" customFormat="1">
      <c r="B164" s="3"/>
      <c r="C164" s="3"/>
      <c r="G164" s="4"/>
      <c r="H164" s="4"/>
      <c r="I164" s="4"/>
      <c r="J164" s="4"/>
      <c r="K164" s="4"/>
      <c r="L164" s="4"/>
      <c r="M164" s="4"/>
      <c r="N164" s="4"/>
      <c r="O164" s="6"/>
    </row>
    <row r="165" spans="2:15" s="46" customFormat="1">
      <c r="B165" s="3"/>
      <c r="C165" s="3"/>
      <c r="G165" s="4"/>
      <c r="H165" s="4"/>
      <c r="I165" s="4"/>
      <c r="J165" s="4"/>
      <c r="K165" s="4"/>
      <c r="L165" s="4"/>
      <c r="M165" s="4"/>
      <c r="N165" s="4"/>
      <c r="O165" s="6"/>
    </row>
    <row r="166" spans="2:15" s="46" customFormat="1">
      <c r="B166" s="3"/>
      <c r="C166" s="3"/>
      <c r="G166" s="4"/>
      <c r="H166" s="4"/>
      <c r="I166" s="4"/>
      <c r="J166" s="4"/>
      <c r="K166" s="4"/>
      <c r="L166" s="4"/>
      <c r="M166" s="4"/>
      <c r="N166" s="4"/>
      <c r="O166" s="6"/>
    </row>
    <row r="167" spans="2:15" s="46" customFormat="1">
      <c r="B167" s="3"/>
      <c r="C167" s="3"/>
      <c r="G167" s="4"/>
      <c r="H167" s="4"/>
      <c r="I167" s="4"/>
      <c r="J167" s="4"/>
      <c r="K167" s="4"/>
      <c r="L167" s="4"/>
      <c r="M167" s="4"/>
      <c r="N167" s="4"/>
      <c r="O167" s="6"/>
    </row>
    <row r="168" spans="2:15" s="46" customFormat="1">
      <c r="B168" s="3"/>
      <c r="C168" s="3"/>
      <c r="G168" s="4"/>
      <c r="H168" s="4"/>
      <c r="I168" s="4"/>
      <c r="J168" s="4"/>
      <c r="K168" s="4"/>
      <c r="L168" s="4"/>
      <c r="M168" s="4"/>
      <c r="N168" s="4"/>
      <c r="O168" s="6"/>
    </row>
    <row r="169" spans="2:15" s="46" customFormat="1">
      <c r="B169" s="3"/>
      <c r="C169" s="3"/>
      <c r="G169" s="4"/>
      <c r="H169" s="4"/>
      <c r="I169" s="4"/>
      <c r="J169" s="4"/>
      <c r="K169" s="4"/>
      <c r="L169" s="4"/>
      <c r="M169" s="4"/>
      <c r="N169" s="4"/>
      <c r="O169" s="6"/>
    </row>
    <row r="170" spans="2:15" s="46" customFormat="1">
      <c r="B170" s="3"/>
      <c r="C170" s="3"/>
      <c r="G170" s="4"/>
      <c r="H170" s="4"/>
      <c r="I170" s="4"/>
      <c r="J170" s="4"/>
      <c r="K170" s="4"/>
      <c r="L170" s="4"/>
      <c r="M170" s="4"/>
      <c r="N170" s="4"/>
      <c r="O170" s="6"/>
    </row>
    <row r="171" spans="2:15" s="46" customFormat="1">
      <c r="B171" s="3"/>
      <c r="C171" s="3"/>
      <c r="G171" s="4"/>
      <c r="H171" s="4"/>
      <c r="I171" s="4"/>
      <c r="J171" s="4"/>
      <c r="K171" s="4"/>
      <c r="L171" s="4"/>
      <c r="M171" s="4"/>
      <c r="N171" s="4"/>
      <c r="O171" s="6"/>
    </row>
    <row r="172" spans="2:15" s="46" customFormat="1">
      <c r="B172" s="3"/>
      <c r="C172" s="3"/>
      <c r="G172" s="4"/>
      <c r="H172" s="4"/>
      <c r="I172" s="4"/>
      <c r="J172" s="4"/>
      <c r="K172" s="4"/>
      <c r="L172" s="4"/>
      <c r="M172" s="4"/>
      <c r="N172" s="4"/>
      <c r="O172" s="6"/>
    </row>
    <row r="173" spans="2:15" s="46" customFormat="1">
      <c r="B173" s="3"/>
      <c r="C173" s="3"/>
      <c r="G173" s="4"/>
      <c r="H173" s="4"/>
      <c r="I173" s="4"/>
      <c r="J173" s="4"/>
      <c r="K173" s="4"/>
      <c r="L173" s="4"/>
      <c r="M173" s="4"/>
      <c r="N173" s="4"/>
      <c r="O173" s="6"/>
    </row>
    <row r="174" spans="2:15" s="46" customFormat="1">
      <c r="B174" s="3"/>
      <c r="C174" s="3"/>
      <c r="G174" s="4"/>
      <c r="H174" s="4"/>
      <c r="I174" s="4"/>
      <c r="J174" s="4"/>
      <c r="K174" s="4"/>
      <c r="L174" s="4"/>
      <c r="M174" s="4"/>
      <c r="N174" s="4"/>
      <c r="O174" s="6"/>
    </row>
    <row r="175" spans="2:15" s="46" customFormat="1">
      <c r="B175" s="3"/>
      <c r="C175" s="3"/>
      <c r="G175" s="4"/>
      <c r="H175" s="4"/>
      <c r="I175" s="4"/>
      <c r="J175" s="4"/>
      <c r="K175" s="4"/>
      <c r="L175" s="4"/>
      <c r="M175" s="4"/>
      <c r="N175" s="4"/>
      <c r="O175" s="6"/>
    </row>
    <row r="176" spans="2:15" s="46" customFormat="1">
      <c r="B176" s="3"/>
      <c r="C176" s="3"/>
      <c r="G176" s="4"/>
      <c r="H176" s="4"/>
      <c r="I176" s="4"/>
      <c r="J176" s="4"/>
      <c r="K176" s="4"/>
      <c r="L176" s="4"/>
      <c r="M176" s="4"/>
      <c r="N176" s="4"/>
      <c r="O176" s="6"/>
    </row>
    <row r="177" spans="2:15" s="46" customFormat="1">
      <c r="B177" s="3"/>
      <c r="C177" s="3"/>
      <c r="G177" s="4"/>
      <c r="H177" s="4"/>
      <c r="I177" s="4"/>
      <c r="J177" s="4"/>
      <c r="K177" s="4"/>
      <c r="L177" s="4"/>
      <c r="M177" s="4"/>
      <c r="N177" s="4"/>
      <c r="O177" s="6"/>
    </row>
    <row r="178" spans="2:15" s="46" customFormat="1">
      <c r="B178" s="3"/>
      <c r="C178" s="3"/>
      <c r="G178" s="4"/>
      <c r="H178" s="4"/>
      <c r="I178" s="4"/>
      <c r="J178" s="4"/>
      <c r="K178" s="4"/>
      <c r="L178" s="4"/>
      <c r="M178" s="4"/>
      <c r="N178" s="4"/>
      <c r="O178" s="6"/>
    </row>
    <row r="179" spans="2:15" s="46" customFormat="1">
      <c r="B179" s="3"/>
      <c r="C179" s="3"/>
      <c r="G179" s="4"/>
      <c r="H179" s="4"/>
      <c r="I179" s="4"/>
      <c r="J179" s="4"/>
      <c r="K179" s="4"/>
      <c r="L179" s="4"/>
      <c r="M179" s="4"/>
      <c r="N179" s="4"/>
      <c r="O179" s="6"/>
    </row>
    <row r="180" spans="2:15" s="46" customFormat="1">
      <c r="B180" s="3"/>
      <c r="C180" s="3"/>
      <c r="G180" s="4"/>
      <c r="H180" s="4"/>
      <c r="I180" s="4"/>
      <c r="J180" s="4"/>
      <c r="K180" s="4"/>
      <c r="L180" s="4"/>
      <c r="M180" s="4"/>
      <c r="N180" s="4"/>
      <c r="O180" s="6"/>
    </row>
    <row r="181" spans="2:15" s="46" customFormat="1">
      <c r="B181" s="3"/>
      <c r="C181" s="3"/>
      <c r="G181" s="4"/>
      <c r="H181" s="4"/>
      <c r="I181" s="4"/>
      <c r="J181" s="4"/>
      <c r="K181" s="4"/>
      <c r="L181" s="4"/>
      <c r="M181" s="4"/>
      <c r="N181" s="4"/>
      <c r="O181" s="6"/>
    </row>
    <row r="182" spans="2:15" s="46" customFormat="1">
      <c r="B182" s="3"/>
      <c r="C182" s="3"/>
      <c r="G182" s="4"/>
      <c r="H182" s="4"/>
      <c r="I182" s="4"/>
      <c r="J182" s="4"/>
      <c r="K182" s="4"/>
      <c r="L182" s="4"/>
      <c r="M182" s="4"/>
      <c r="N182" s="4"/>
      <c r="O182" s="6"/>
    </row>
    <row r="183" spans="2:15" s="46" customFormat="1">
      <c r="B183" s="3"/>
      <c r="C183" s="3"/>
      <c r="G183" s="4"/>
      <c r="H183" s="4"/>
      <c r="I183" s="4"/>
      <c r="J183" s="4"/>
      <c r="K183" s="4"/>
      <c r="L183" s="4"/>
      <c r="M183" s="4"/>
      <c r="N183" s="4"/>
      <c r="O183" s="6"/>
    </row>
    <row r="184" spans="2:15" s="46" customFormat="1">
      <c r="B184" s="3"/>
      <c r="C184" s="3"/>
      <c r="G184" s="4"/>
      <c r="H184" s="4"/>
      <c r="I184" s="4"/>
      <c r="J184" s="4"/>
      <c r="K184" s="4"/>
      <c r="L184" s="4"/>
      <c r="M184" s="4"/>
      <c r="N184" s="4"/>
      <c r="O184" s="6"/>
    </row>
    <row r="185" spans="2:15" s="46" customFormat="1">
      <c r="B185" s="3"/>
      <c r="C185" s="3"/>
      <c r="G185" s="4"/>
      <c r="H185" s="4"/>
      <c r="I185" s="4"/>
      <c r="J185" s="4"/>
      <c r="K185" s="4"/>
      <c r="L185" s="4"/>
      <c r="M185" s="4"/>
      <c r="N185" s="4"/>
      <c r="O185" s="6"/>
    </row>
    <row r="186" spans="2:15" s="46" customFormat="1">
      <c r="B186" s="3"/>
      <c r="C186" s="3"/>
      <c r="G186" s="4"/>
      <c r="H186" s="4"/>
      <c r="I186" s="4"/>
      <c r="J186" s="4"/>
      <c r="K186" s="4"/>
      <c r="L186" s="4"/>
      <c r="M186" s="4"/>
      <c r="N186" s="4"/>
      <c r="O186" s="6"/>
    </row>
    <row r="187" spans="2:15" s="46" customFormat="1">
      <c r="B187" s="3"/>
      <c r="C187" s="3"/>
      <c r="G187" s="4"/>
      <c r="H187" s="4"/>
      <c r="I187" s="4"/>
      <c r="J187" s="4"/>
      <c r="K187" s="4"/>
      <c r="L187" s="4"/>
      <c r="M187" s="4"/>
      <c r="N187" s="4"/>
      <c r="O187" s="6"/>
    </row>
    <row r="188" spans="2:15" s="46" customFormat="1">
      <c r="B188" s="3"/>
      <c r="C188" s="3"/>
      <c r="G188" s="4"/>
      <c r="H188" s="4"/>
      <c r="I188" s="4"/>
      <c r="J188" s="4"/>
      <c r="K188" s="4"/>
      <c r="L188" s="4"/>
      <c r="M188" s="4"/>
      <c r="N188" s="4"/>
      <c r="O188" s="6"/>
    </row>
    <row r="189" spans="2:15" s="46" customFormat="1">
      <c r="B189" s="3"/>
      <c r="C189" s="3"/>
      <c r="G189" s="4"/>
      <c r="H189" s="4"/>
      <c r="I189" s="4"/>
      <c r="J189" s="4"/>
      <c r="K189" s="4"/>
      <c r="L189" s="4"/>
      <c r="M189" s="4"/>
      <c r="N189" s="4"/>
      <c r="O189" s="6"/>
    </row>
    <row r="190" spans="2:15" s="46" customFormat="1">
      <c r="B190" s="3"/>
      <c r="C190" s="3"/>
      <c r="G190" s="4"/>
      <c r="H190" s="4"/>
      <c r="I190" s="4"/>
      <c r="J190" s="4"/>
      <c r="K190" s="4"/>
      <c r="L190" s="4"/>
      <c r="M190" s="4"/>
      <c r="N190" s="4"/>
      <c r="O190" s="6"/>
    </row>
    <row r="191" spans="2:15" s="46" customFormat="1">
      <c r="B191" s="3"/>
      <c r="C191" s="3"/>
      <c r="G191" s="4"/>
      <c r="H191" s="4"/>
      <c r="I191" s="4"/>
      <c r="J191" s="4"/>
      <c r="K191" s="4"/>
      <c r="L191" s="4"/>
      <c r="M191" s="4"/>
      <c r="N191" s="4"/>
      <c r="O191" s="6"/>
    </row>
    <row r="192" spans="2:15" s="46" customFormat="1">
      <c r="B192" s="3"/>
      <c r="C192" s="3"/>
      <c r="G192" s="4"/>
      <c r="H192" s="4"/>
      <c r="I192" s="4"/>
      <c r="J192" s="4"/>
      <c r="K192" s="4"/>
      <c r="L192" s="4"/>
      <c r="M192" s="4"/>
      <c r="N192" s="4"/>
      <c r="O192" s="6"/>
    </row>
    <row r="193" spans="2:15" s="46" customFormat="1">
      <c r="B193" s="3"/>
      <c r="C193" s="3"/>
      <c r="G193" s="4"/>
      <c r="H193" s="4"/>
      <c r="I193" s="4"/>
      <c r="J193" s="4"/>
      <c r="K193" s="4"/>
      <c r="L193" s="4"/>
      <c r="M193" s="4"/>
      <c r="N193" s="4"/>
      <c r="O193" s="6"/>
    </row>
    <row r="194" spans="2:15" s="46" customFormat="1">
      <c r="B194" s="3"/>
      <c r="C194" s="3"/>
      <c r="G194" s="4"/>
      <c r="H194" s="4"/>
      <c r="I194" s="4"/>
      <c r="J194" s="4"/>
      <c r="K194" s="4"/>
      <c r="L194" s="4"/>
      <c r="M194" s="4"/>
      <c r="N194" s="4"/>
      <c r="O194" s="6"/>
    </row>
    <row r="195" spans="2:15" s="46" customFormat="1">
      <c r="B195" s="3"/>
      <c r="C195" s="3"/>
      <c r="G195" s="4"/>
      <c r="H195" s="4"/>
      <c r="I195" s="4"/>
      <c r="J195" s="4"/>
      <c r="K195" s="4"/>
      <c r="L195" s="4"/>
      <c r="M195" s="4"/>
      <c r="N195" s="4"/>
      <c r="O195" s="6"/>
    </row>
    <row r="196" spans="2:15" s="46" customFormat="1">
      <c r="B196" s="3"/>
      <c r="C196" s="3"/>
      <c r="G196" s="4"/>
      <c r="H196" s="4"/>
      <c r="I196" s="4"/>
      <c r="J196" s="4"/>
      <c r="K196" s="4"/>
      <c r="L196" s="4"/>
      <c r="M196" s="4"/>
      <c r="N196" s="4"/>
      <c r="O196" s="6"/>
    </row>
    <row r="197" spans="2:15" s="46" customFormat="1">
      <c r="B197" s="3"/>
      <c r="C197" s="3"/>
      <c r="G197" s="4"/>
      <c r="H197" s="4"/>
      <c r="I197" s="4"/>
      <c r="J197" s="4"/>
      <c r="K197" s="4"/>
      <c r="L197" s="4"/>
      <c r="M197" s="4"/>
      <c r="N197" s="4"/>
      <c r="O197" s="6"/>
    </row>
    <row r="198" spans="2:15" s="46" customFormat="1">
      <c r="B198" s="3"/>
      <c r="C198" s="3"/>
      <c r="G198" s="4"/>
      <c r="H198" s="4"/>
      <c r="I198" s="4"/>
      <c r="J198" s="4"/>
      <c r="K198" s="4"/>
      <c r="L198" s="4"/>
      <c r="M198" s="4"/>
      <c r="N198" s="4"/>
      <c r="O198" s="6"/>
    </row>
    <row r="199" spans="2:15" s="46" customFormat="1">
      <c r="B199" s="3"/>
      <c r="C199" s="3"/>
      <c r="G199" s="4"/>
      <c r="H199" s="4"/>
      <c r="I199" s="4"/>
      <c r="J199" s="4"/>
      <c r="K199" s="4"/>
      <c r="L199" s="4"/>
      <c r="M199" s="4"/>
      <c r="N199" s="4"/>
      <c r="O199" s="6"/>
    </row>
    <row r="200" spans="2:15" s="46" customFormat="1">
      <c r="B200" s="3"/>
      <c r="C200" s="3"/>
      <c r="G200" s="4"/>
      <c r="H200" s="4"/>
      <c r="I200" s="4"/>
      <c r="J200" s="4"/>
      <c r="K200" s="4"/>
      <c r="L200" s="4"/>
      <c r="M200" s="4"/>
      <c r="N200" s="4"/>
      <c r="O200" s="6"/>
    </row>
    <row r="201" spans="2:15" s="46" customFormat="1">
      <c r="B201" s="3"/>
      <c r="C201" s="3"/>
      <c r="G201" s="4"/>
      <c r="H201" s="4"/>
      <c r="I201" s="4"/>
      <c r="J201" s="4"/>
      <c r="K201" s="4"/>
      <c r="L201" s="4"/>
      <c r="M201" s="4"/>
      <c r="N201" s="4"/>
      <c r="O201" s="6"/>
    </row>
    <row r="202" spans="2:15" s="46" customFormat="1">
      <c r="B202" s="3"/>
      <c r="C202" s="3"/>
      <c r="G202" s="4"/>
      <c r="H202" s="4"/>
      <c r="I202" s="4"/>
      <c r="J202" s="4"/>
      <c r="K202" s="4"/>
      <c r="L202" s="4"/>
      <c r="M202" s="4"/>
      <c r="N202" s="4"/>
      <c r="O202" s="6"/>
    </row>
    <row r="203" spans="2:15" s="46" customFormat="1">
      <c r="B203" s="3"/>
      <c r="C203" s="3"/>
      <c r="G203" s="4"/>
      <c r="H203" s="4"/>
      <c r="I203" s="4"/>
      <c r="J203" s="4"/>
      <c r="K203" s="4"/>
      <c r="L203" s="4"/>
      <c r="M203" s="4"/>
      <c r="N203" s="4"/>
      <c r="O203" s="6"/>
    </row>
    <row r="204" spans="2:15" s="46" customFormat="1">
      <c r="B204" s="3"/>
      <c r="C204" s="3"/>
      <c r="G204" s="4"/>
      <c r="H204" s="4"/>
      <c r="I204" s="4"/>
      <c r="J204" s="4"/>
      <c r="K204" s="4"/>
      <c r="L204" s="4"/>
      <c r="M204" s="4"/>
      <c r="N204" s="4"/>
      <c r="O204" s="6"/>
    </row>
    <row r="205" spans="2:15" s="46" customFormat="1">
      <c r="B205" s="3"/>
      <c r="C205" s="3"/>
      <c r="G205" s="4"/>
      <c r="H205" s="4"/>
      <c r="I205" s="4"/>
      <c r="J205" s="4"/>
      <c r="K205" s="4"/>
      <c r="L205" s="4"/>
      <c r="M205" s="4"/>
      <c r="N205" s="4"/>
      <c r="O205" s="6"/>
    </row>
    <row r="206" spans="2:15" s="46" customFormat="1">
      <c r="B206" s="3"/>
      <c r="C206" s="3"/>
      <c r="G206" s="4"/>
      <c r="H206" s="4"/>
      <c r="I206" s="4"/>
      <c r="J206" s="4"/>
      <c r="K206" s="4"/>
      <c r="L206" s="4"/>
      <c r="M206" s="4"/>
      <c r="N206" s="4"/>
      <c r="O206" s="6"/>
    </row>
    <row r="207" spans="2:15" s="46" customFormat="1">
      <c r="B207" s="3"/>
      <c r="C207" s="3"/>
      <c r="G207" s="4"/>
      <c r="H207" s="4"/>
      <c r="I207" s="4"/>
      <c r="J207" s="4"/>
      <c r="K207" s="4"/>
      <c r="L207" s="4"/>
      <c r="M207" s="4"/>
      <c r="N207" s="4"/>
      <c r="O207" s="6"/>
    </row>
    <row r="208" spans="2:15" s="46" customFormat="1">
      <c r="B208" s="3"/>
      <c r="C208" s="3"/>
      <c r="G208" s="4"/>
      <c r="H208" s="4"/>
      <c r="I208" s="4"/>
      <c r="J208" s="4"/>
      <c r="K208" s="4"/>
      <c r="L208" s="4"/>
      <c r="M208" s="4"/>
      <c r="N208" s="4"/>
      <c r="O208" s="6"/>
    </row>
    <row r="209" spans="2:15" s="46" customFormat="1">
      <c r="B209" s="3"/>
      <c r="C209" s="3"/>
      <c r="G209" s="4"/>
      <c r="H209" s="4"/>
      <c r="I209" s="4"/>
      <c r="J209" s="4"/>
      <c r="K209" s="4"/>
      <c r="L209" s="4"/>
      <c r="M209" s="4"/>
      <c r="N209" s="4"/>
      <c r="O209" s="6"/>
    </row>
    <row r="210" spans="2:15" s="46" customFormat="1">
      <c r="B210" s="3"/>
      <c r="C210" s="3"/>
      <c r="G210" s="4"/>
      <c r="H210" s="4"/>
      <c r="I210" s="4"/>
      <c r="J210" s="4"/>
      <c r="K210" s="4"/>
      <c r="L210" s="4"/>
      <c r="M210" s="4"/>
      <c r="N210" s="4"/>
      <c r="O210" s="6"/>
    </row>
    <row r="211" spans="2:15" s="46" customFormat="1">
      <c r="B211" s="3"/>
      <c r="C211" s="3"/>
      <c r="G211" s="4"/>
      <c r="H211" s="4"/>
      <c r="I211" s="4"/>
      <c r="J211" s="4"/>
      <c r="K211" s="4"/>
      <c r="L211" s="4"/>
      <c r="M211" s="4"/>
      <c r="N211" s="4"/>
      <c r="O211" s="6"/>
    </row>
    <row r="212" spans="2:15" s="46" customFormat="1">
      <c r="B212" s="3"/>
      <c r="C212" s="3"/>
      <c r="G212" s="4"/>
      <c r="H212" s="4"/>
      <c r="I212" s="4"/>
      <c r="J212" s="4"/>
      <c r="K212" s="4"/>
      <c r="L212" s="4"/>
      <c r="M212" s="4"/>
      <c r="N212" s="4"/>
      <c r="O212" s="6"/>
    </row>
    <row r="213" spans="2:15" s="46" customFormat="1">
      <c r="B213" s="3"/>
      <c r="C213" s="3"/>
      <c r="G213" s="4"/>
      <c r="H213" s="4"/>
      <c r="I213" s="4"/>
      <c r="J213" s="4"/>
      <c r="K213" s="4"/>
      <c r="L213" s="4"/>
      <c r="M213" s="4"/>
      <c r="N213" s="4"/>
      <c r="O213" s="6"/>
    </row>
    <row r="214" spans="2:15" s="46" customFormat="1">
      <c r="B214" s="3"/>
      <c r="C214" s="3"/>
      <c r="G214" s="4"/>
      <c r="H214" s="4"/>
      <c r="I214" s="4"/>
      <c r="J214" s="4"/>
      <c r="K214" s="4"/>
      <c r="L214" s="4"/>
      <c r="M214" s="4"/>
      <c r="N214" s="4"/>
      <c r="O214" s="6"/>
    </row>
    <row r="215" spans="2:15" s="46" customFormat="1">
      <c r="B215" s="3"/>
      <c r="C215" s="3"/>
      <c r="G215" s="4"/>
      <c r="H215" s="4"/>
      <c r="I215" s="4"/>
      <c r="J215" s="4"/>
      <c r="K215" s="4"/>
      <c r="L215" s="4"/>
      <c r="M215" s="4"/>
      <c r="N215" s="4"/>
      <c r="O215" s="6"/>
    </row>
    <row r="216" spans="2:15" s="46" customFormat="1">
      <c r="B216" s="3"/>
      <c r="C216" s="3"/>
      <c r="G216" s="4"/>
      <c r="H216" s="4"/>
      <c r="I216" s="4"/>
      <c r="J216" s="4"/>
      <c r="K216" s="4"/>
      <c r="L216" s="4"/>
      <c r="M216" s="4"/>
      <c r="N216" s="4"/>
      <c r="O216" s="6"/>
    </row>
    <row r="217" spans="2:15" s="46" customFormat="1">
      <c r="B217" s="3"/>
      <c r="C217" s="3"/>
      <c r="G217" s="4"/>
      <c r="H217" s="4"/>
      <c r="I217" s="4"/>
      <c r="J217" s="4"/>
      <c r="K217" s="4"/>
      <c r="L217" s="4"/>
      <c r="M217" s="4"/>
      <c r="N217" s="4"/>
      <c r="O217" s="6"/>
    </row>
    <row r="218" spans="2:15" s="46" customFormat="1">
      <c r="B218" s="3"/>
      <c r="C218" s="3"/>
      <c r="G218" s="4"/>
      <c r="H218" s="4"/>
      <c r="I218" s="4"/>
      <c r="J218" s="4"/>
      <c r="K218" s="4"/>
      <c r="L218" s="4"/>
      <c r="M218" s="4"/>
      <c r="N218" s="4"/>
      <c r="O218" s="6"/>
    </row>
    <row r="219" spans="2:15" s="46" customFormat="1">
      <c r="B219" s="3"/>
      <c r="C219" s="3"/>
      <c r="G219" s="4"/>
      <c r="H219" s="4"/>
      <c r="I219" s="4"/>
      <c r="J219" s="4"/>
      <c r="K219" s="4"/>
      <c r="L219" s="4"/>
      <c r="M219" s="4"/>
      <c r="N219" s="4"/>
      <c r="O219" s="6"/>
    </row>
    <row r="220" spans="2:15" s="46" customFormat="1">
      <c r="B220" s="3"/>
      <c r="C220" s="3"/>
      <c r="G220" s="4"/>
      <c r="H220" s="4"/>
      <c r="I220" s="4"/>
      <c r="J220" s="4"/>
      <c r="K220" s="4"/>
      <c r="L220" s="4"/>
      <c r="M220" s="4"/>
      <c r="N220" s="4"/>
      <c r="O220" s="6"/>
    </row>
    <row r="221" spans="2:15" s="46" customFormat="1">
      <c r="B221" s="3"/>
      <c r="C221" s="3"/>
      <c r="G221" s="4"/>
      <c r="H221" s="4"/>
      <c r="I221" s="4"/>
      <c r="J221" s="4"/>
      <c r="K221" s="4"/>
      <c r="L221" s="4"/>
      <c r="M221" s="4"/>
      <c r="N221" s="4"/>
      <c r="O221" s="6"/>
    </row>
    <row r="222" spans="2:15" s="46" customFormat="1">
      <c r="B222" s="3"/>
      <c r="C222" s="3"/>
      <c r="G222" s="4"/>
      <c r="H222" s="4"/>
      <c r="I222" s="4"/>
      <c r="J222" s="4"/>
      <c r="K222" s="4"/>
      <c r="L222" s="4"/>
      <c r="M222" s="4"/>
      <c r="N222" s="4"/>
      <c r="O222" s="6"/>
    </row>
    <row r="223" spans="2:15" s="46" customFormat="1">
      <c r="B223" s="3"/>
      <c r="C223" s="3"/>
      <c r="G223" s="4"/>
      <c r="H223" s="4"/>
      <c r="I223" s="4"/>
      <c r="J223" s="4"/>
      <c r="K223" s="4"/>
      <c r="L223" s="4"/>
      <c r="M223" s="4"/>
      <c r="N223" s="4"/>
      <c r="O223" s="6"/>
    </row>
    <row r="224" spans="2:15" s="46" customFormat="1">
      <c r="B224" s="3"/>
      <c r="C224" s="3"/>
      <c r="G224" s="4"/>
      <c r="H224" s="4"/>
      <c r="I224" s="4"/>
      <c r="J224" s="4"/>
      <c r="K224" s="4"/>
      <c r="L224" s="4"/>
      <c r="M224" s="4"/>
      <c r="N224" s="4"/>
      <c r="O224" s="6"/>
    </row>
    <row r="225" spans="2:15" s="46" customFormat="1">
      <c r="B225" s="3"/>
      <c r="C225" s="3"/>
      <c r="G225" s="4"/>
      <c r="H225" s="4"/>
      <c r="I225" s="4"/>
      <c r="J225" s="4"/>
      <c r="K225" s="4"/>
      <c r="L225" s="4"/>
      <c r="M225" s="4"/>
      <c r="N225" s="4"/>
      <c r="O225" s="6"/>
    </row>
    <row r="226" spans="2:15" s="46" customFormat="1">
      <c r="B226" s="3"/>
      <c r="C226" s="3"/>
      <c r="G226" s="4"/>
      <c r="H226" s="4"/>
      <c r="I226" s="4"/>
      <c r="J226" s="4"/>
      <c r="K226" s="4"/>
      <c r="L226" s="4"/>
      <c r="M226" s="4"/>
      <c r="N226" s="4"/>
      <c r="O226" s="6"/>
    </row>
    <row r="227" spans="2:15" s="46" customFormat="1">
      <c r="B227" s="3"/>
      <c r="C227" s="3"/>
      <c r="G227" s="4"/>
      <c r="H227" s="4"/>
      <c r="I227" s="4"/>
      <c r="J227" s="4"/>
      <c r="K227" s="4"/>
      <c r="L227" s="4"/>
      <c r="M227" s="4"/>
      <c r="N227" s="4"/>
      <c r="O227" s="6"/>
    </row>
    <row r="228" spans="2:15" s="46" customFormat="1">
      <c r="B228" s="3"/>
      <c r="C228" s="3"/>
      <c r="G228" s="4"/>
      <c r="H228" s="4"/>
      <c r="I228" s="4"/>
      <c r="J228" s="4"/>
      <c r="K228" s="4"/>
      <c r="L228" s="4"/>
      <c r="M228" s="4"/>
      <c r="N228" s="4"/>
      <c r="O228" s="6"/>
    </row>
    <row r="229" spans="2:15" s="46" customFormat="1">
      <c r="B229" s="3"/>
      <c r="C229" s="3"/>
      <c r="G229" s="4"/>
      <c r="H229" s="4"/>
      <c r="I229" s="4"/>
      <c r="J229" s="4"/>
      <c r="K229" s="4"/>
      <c r="L229" s="4"/>
      <c r="M229" s="4"/>
      <c r="N229" s="4"/>
      <c r="O229" s="6"/>
    </row>
    <row r="230" spans="2:15" s="46" customFormat="1">
      <c r="B230" s="3"/>
      <c r="C230" s="3"/>
      <c r="G230" s="4"/>
      <c r="H230" s="4"/>
      <c r="I230" s="4"/>
      <c r="J230" s="4"/>
      <c r="K230" s="4"/>
      <c r="L230" s="4"/>
      <c r="M230" s="4"/>
      <c r="N230" s="4"/>
      <c r="O230" s="6"/>
    </row>
    <row r="231" spans="2:15" s="46" customFormat="1">
      <c r="B231" s="3"/>
      <c r="C231" s="3"/>
      <c r="G231" s="4"/>
      <c r="H231" s="4"/>
      <c r="I231" s="4"/>
      <c r="J231" s="4"/>
      <c r="K231" s="4"/>
      <c r="L231" s="4"/>
      <c r="M231" s="4"/>
      <c r="N231" s="4"/>
      <c r="O231" s="6"/>
    </row>
    <row r="232" spans="2:15" s="46" customFormat="1">
      <c r="B232" s="3"/>
      <c r="C232" s="3"/>
      <c r="G232" s="4"/>
      <c r="H232" s="4"/>
      <c r="I232" s="4"/>
      <c r="J232" s="4"/>
      <c r="K232" s="4"/>
      <c r="L232" s="4"/>
      <c r="M232" s="4"/>
      <c r="N232" s="4"/>
      <c r="O232" s="6"/>
    </row>
    <row r="233" spans="2:15" s="46" customFormat="1">
      <c r="B233" s="3"/>
      <c r="C233" s="3"/>
      <c r="G233" s="4"/>
      <c r="H233" s="4"/>
      <c r="I233" s="4"/>
      <c r="J233" s="4"/>
      <c r="K233" s="4"/>
      <c r="L233" s="4"/>
      <c r="M233" s="4"/>
      <c r="N233" s="4"/>
      <c r="O233" s="6"/>
    </row>
    <row r="234" spans="2:15" s="46" customFormat="1">
      <c r="B234" s="3"/>
      <c r="C234" s="3"/>
      <c r="G234" s="4"/>
      <c r="H234" s="4"/>
      <c r="I234" s="4"/>
      <c r="J234" s="4"/>
      <c r="K234" s="4"/>
      <c r="L234" s="4"/>
      <c r="M234" s="4"/>
      <c r="N234" s="4"/>
      <c r="O234" s="6"/>
    </row>
    <row r="235" spans="2:15" s="46" customFormat="1">
      <c r="B235" s="3"/>
      <c r="C235" s="3"/>
      <c r="G235" s="4"/>
      <c r="H235" s="4"/>
      <c r="I235" s="4"/>
      <c r="J235" s="4"/>
      <c r="K235" s="4"/>
      <c r="L235" s="4"/>
      <c r="M235" s="4"/>
      <c r="N235" s="4"/>
      <c r="O235" s="6"/>
    </row>
    <row r="236" spans="2:15" s="46" customFormat="1">
      <c r="B236" s="3"/>
      <c r="C236" s="3"/>
      <c r="G236" s="4"/>
      <c r="H236" s="4"/>
      <c r="I236" s="4"/>
      <c r="J236" s="4"/>
      <c r="K236" s="4"/>
      <c r="L236" s="4"/>
      <c r="M236" s="4"/>
      <c r="N236" s="4"/>
      <c r="O236" s="6"/>
    </row>
    <row r="237" spans="2:15" s="46" customFormat="1">
      <c r="B237" s="3"/>
      <c r="C237" s="3"/>
      <c r="G237" s="4"/>
      <c r="H237" s="4"/>
      <c r="I237" s="4"/>
      <c r="J237" s="4"/>
      <c r="K237" s="4"/>
      <c r="L237" s="4"/>
      <c r="M237" s="4"/>
      <c r="N237" s="4"/>
      <c r="O237" s="6"/>
    </row>
    <row r="238" spans="2:15" s="46" customFormat="1">
      <c r="B238" s="3"/>
      <c r="C238" s="3"/>
      <c r="G238" s="4"/>
      <c r="H238" s="4"/>
      <c r="I238" s="4"/>
      <c r="J238" s="4"/>
      <c r="K238" s="4"/>
      <c r="L238" s="4"/>
      <c r="M238" s="4"/>
      <c r="N238" s="4"/>
      <c r="O238" s="6"/>
    </row>
    <row r="239" spans="2:15" s="46" customFormat="1">
      <c r="B239" s="3"/>
      <c r="C239" s="3"/>
      <c r="G239" s="4"/>
      <c r="H239" s="4"/>
      <c r="I239" s="4"/>
      <c r="J239" s="4"/>
      <c r="K239" s="4"/>
      <c r="L239" s="4"/>
      <c r="M239" s="4"/>
      <c r="N239" s="4"/>
      <c r="O239" s="6"/>
    </row>
    <row r="240" spans="2:15" s="46" customFormat="1">
      <c r="B240" s="3"/>
      <c r="C240" s="3"/>
      <c r="G240" s="4"/>
      <c r="H240" s="4"/>
      <c r="I240" s="4"/>
      <c r="J240" s="4"/>
      <c r="K240" s="4"/>
      <c r="L240" s="4"/>
      <c r="M240" s="4"/>
      <c r="N240" s="4"/>
      <c r="O240" s="6"/>
    </row>
    <row r="241" spans="2:15" s="46" customFormat="1">
      <c r="B241" s="3"/>
      <c r="C241" s="3"/>
      <c r="G241" s="4"/>
      <c r="H241" s="4"/>
      <c r="I241" s="4"/>
      <c r="J241" s="4"/>
      <c r="K241" s="4"/>
      <c r="L241" s="4"/>
      <c r="M241" s="4"/>
      <c r="N241" s="4"/>
      <c r="O241" s="6"/>
    </row>
    <row r="242" spans="2:15" s="46" customFormat="1">
      <c r="B242" s="3"/>
      <c r="C242" s="3"/>
      <c r="G242" s="4"/>
      <c r="H242" s="4"/>
      <c r="I242" s="4"/>
      <c r="J242" s="4"/>
      <c r="K242" s="4"/>
      <c r="L242" s="4"/>
      <c r="M242" s="4"/>
      <c r="N242" s="4"/>
      <c r="O242" s="6"/>
    </row>
    <row r="243" spans="2:15" s="46" customFormat="1">
      <c r="B243" s="3"/>
      <c r="C243" s="3"/>
      <c r="G243" s="4"/>
      <c r="H243" s="4"/>
      <c r="I243" s="4"/>
      <c r="J243" s="4"/>
      <c r="K243" s="4"/>
      <c r="L243" s="4"/>
      <c r="M243" s="4"/>
      <c r="N243" s="4"/>
      <c r="O243" s="6"/>
    </row>
    <row r="244" spans="2:15" s="46" customFormat="1">
      <c r="B244" s="3"/>
      <c r="C244" s="3"/>
      <c r="G244" s="4"/>
      <c r="H244" s="4"/>
      <c r="I244" s="4"/>
      <c r="J244" s="4"/>
      <c r="K244" s="4"/>
      <c r="L244" s="4"/>
      <c r="M244" s="4"/>
      <c r="N244" s="4"/>
      <c r="O244" s="6"/>
    </row>
    <row r="245" spans="2:15" s="46" customFormat="1">
      <c r="B245" s="3"/>
      <c r="C245" s="3"/>
      <c r="G245" s="4"/>
      <c r="H245" s="4"/>
      <c r="I245" s="4"/>
      <c r="J245" s="4"/>
      <c r="K245" s="4"/>
      <c r="L245" s="4"/>
      <c r="M245" s="4"/>
      <c r="N245" s="4"/>
      <c r="O245" s="6"/>
    </row>
    <row r="246" spans="2:15" s="46" customFormat="1">
      <c r="B246" s="3"/>
      <c r="C246" s="3"/>
      <c r="G246" s="4"/>
      <c r="H246" s="4"/>
      <c r="I246" s="4"/>
      <c r="J246" s="4"/>
      <c r="K246" s="4"/>
      <c r="L246" s="4"/>
      <c r="M246" s="4"/>
      <c r="N246" s="4"/>
      <c r="O246" s="6"/>
    </row>
    <row r="247" spans="2:15" s="46" customFormat="1">
      <c r="B247" s="3"/>
      <c r="C247" s="3"/>
      <c r="G247" s="4"/>
      <c r="H247" s="4"/>
      <c r="I247" s="4"/>
      <c r="J247" s="4"/>
      <c r="K247" s="4"/>
      <c r="L247" s="4"/>
      <c r="M247" s="4"/>
      <c r="N247" s="4"/>
      <c r="O247" s="6"/>
    </row>
    <row r="248" spans="2:15" s="46" customFormat="1">
      <c r="B248" s="3"/>
      <c r="C248" s="3"/>
      <c r="G248" s="4"/>
      <c r="H248" s="4"/>
      <c r="I248" s="4"/>
      <c r="J248" s="4"/>
      <c r="K248" s="4"/>
      <c r="L248" s="4"/>
      <c r="M248" s="4"/>
      <c r="N248" s="4"/>
      <c r="O248" s="6"/>
    </row>
    <row r="249" spans="2:15" s="46" customFormat="1">
      <c r="B249" s="3"/>
      <c r="C249" s="3"/>
      <c r="G249" s="4"/>
      <c r="H249" s="4"/>
      <c r="I249" s="4"/>
      <c r="J249" s="4"/>
      <c r="K249" s="4"/>
      <c r="L249" s="4"/>
      <c r="M249" s="4"/>
      <c r="N249" s="4"/>
      <c r="O249" s="6"/>
    </row>
    <row r="250" spans="2:15" s="46" customFormat="1">
      <c r="B250" s="3"/>
      <c r="C250" s="3"/>
      <c r="G250" s="4"/>
      <c r="H250" s="4"/>
      <c r="I250" s="4"/>
      <c r="J250" s="4"/>
      <c r="K250" s="4"/>
      <c r="L250" s="4"/>
      <c r="M250" s="4"/>
      <c r="N250" s="4"/>
      <c r="O250" s="6"/>
    </row>
    <row r="251" spans="2:15" s="46" customFormat="1">
      <c r="B251" s="3"/>
      <c r="C251" s="3"/>
      <c r="G251" s="4"/>
      <c r="H251" s="4"/>
      <c r="I251" s="4"/>
      <c r="J251" s="4"/>
      <c r="K251" s="4"/>
      <c r="L251" s="4"/>
      <c r="M251" s="4"/>
      <c r="N251" s="4"/>
      <c r="O251" s="6"/>
    </row>
    <row r="252" spans="2:15" s="46" customFormat="1">
      <c r="B252" s="3"/>
      <c r="C252" s="3"/>
      <c r="G252" s="4"/>
      <c r="H252" s="4"/>
      <c r="I252" s="4"/>
      <c r="J252" s="4"/>
      <c r="K252" s="4"/>
      <c r="L252" s="4"/>
      <c r="M252" s="4"/>
      <c r="N252" s="4"/>
      <c r="O252" s="6"/>
    </row>
    <row r="253" spans="2:15" s="46" customFormat="1">
      <c r="B253" s="3"/>
      <c r="C253" s="3"/>
      <c r="G253" s="4"/>
      <c r="H253" s="4"/>
      <c r="I253" s="4"/>
      <c r="J253" s="4"/>
      <c r="K253" s="4"/>
      <c r="L253" s="4"/>
      <c r="M253" s="4"/>
      <c r="N253" s="4"/>
      <c r="O253" s="6"/>
    </row>
    <row r="254" spans="2:15" s="46" customFormat="1">
      <c r="B254" s="3"/>
      <c r="C254" s="3"/>
      <c r="G254" s="4"/>
      <c r="H254" s="4"/>
      <c r="I254" s="4"/>
      <c r="J254" s="4"/>
      <c r="K254" s="4"/>
      <c r="L254" s="4"/>
      <c r="M254" s="4"/>
      <c r="N254" s="4"/>
      <c r="O254" s="6"/>
    </row>
    <row r="255" spans="2:15" s="46" customFormat="1">
      <c r="B255" s="3"/>
      <c r="C255" s="3"/>
      <c r="G255" s="4"/>
      <c r="H255" s="4"/>
      <c r="I255" s="4"/>
      <c r="J255" s="4"/>
      <c r="K255" s="4"/>
      <c r="L255" s="4"/>
      <c r="M255" s="4"/>
      <c r="N255" s="4"/>
      <c r="O255" s="6"/>
    </row>
    <row r="256" spans="2:15" s="46" customFormat="1">
      <c r="B256" s="3"/>
      <c r="C256" s="3"/>
      <c r="G256" s="4"/>
      <c r="H256" s="4"/>
      <c r="I256" s="4"/>
      <c r="J256" s="4"/>
      <c r="K256" s="4"/>
      <c r="L256" s="4"/>
      <c r="M256" s="4"/>
      <c r="N256" s="4"/>
      <c r="O256" s="6"/>
    </row>
    <row r="257" spans="2:15" s="46" customFormat="1">
      <c r="B257" s="3"/>
      <c r="C257" s="3"/>
      <c r="G257" s="4"/>
      <c r="H257" s="4"/>
      <c r="I257" s="4"/>
      <c r="J257" s="4"/>
      <c r="K257" s="4"/>
      <c r="L257" s="4"/>
      <c r="M257" s="4"/>
      <c r="N257" s="4"/>
      <c r="O257" s="6"/>
    </row>
    <row r="258" spans="2:15" s="46" customFormat="1">
      <c r="B258" s="3"/>
      <c r="C258" s="3"/>
      <c r="G258" s="4"/>
      <c r="H258" s="4"/>
      <c r="I258" s="4"/>
      <c r="J258" s="4"/>
      <c r="K258" s="4"/>
      <c r="L258" s="4"/>
      <c r="M258" s="4"/>
      <c r="N258" s="4"/>
      <c r="O258" s="6"/>
    </row>
    <row r="259" spans="2:15" s="46" customFormat="1">
      <c r="B259" s="3"/>
      <c r="C259" s="3"/>
      <c r="G259" s="4"/>
      <c r="H259" s="4"/>
      <c r="I259" s="4"/>
      <c r="J259" s="4"/>
      <c r="K259" s="4"/>
      <c r="L259" s="4"/>
      <c r="M259" s="4"/>
      <c r="N259" s="4"/>
      <c r="O259" s="6"/>
    </row>
    <row r="260" spans="2:15" s="46" customFormat="1">
      <c r="B260" s="3"/>
      <c r="C260" s="3"/>
      <c r="G260" s="4"/>
      <c r="H260" s="4"/>
      <c r="I260" s="4"/>
      <c r="J260" s="4"/>
      <c r="K260" s="4"/>
      <c r="L260" s="4"/>
      <c r="M260" s="4"/>
      <c r="N260" s="4"/>
      <c r="O260" s="6"/>
    </row>
    <row r="261" spans="2:15" s="46" customFormat="1">
      <c r="B261" s="3"/>
      <c r="C261" s="3"/>
      <c r="G261" s="4"/>
      <c r="H261" s="4"/>
      <c r="I261" s="4"/>
      <c r="J261" s="4"/>
      <c r="K261" s="4"/>
      <c r="L261" s="4"/>
      <c r="M261" s="4"/>
      <c r="N261" s="4"/>
      <c r="O261" s="6"/>
    </row>
    <row r="262" spans="2:15" s="46" customFormat="1">
      <c r="B262" s="3"/>
      <c r="C262" s="3"/>
      <c r="G262" s="4"/>
      <c r="H262" s="4"/>
      <c r="I262" s="4"/>
      <c r="J262" s="4"/>
      <c r="K262" s="4"/>
      <c r="L262" s="4"/>
      <c r="M262" s="4"/>
      <c r="N262" s="4"/>
      <c r="O262" s="6"/>
    </row>
    <row r="263" spans="2:15" s="46" customFormat="1">
      <c r="B263" s="3"/>
      <c r="C263" s="3"/>
      <c r="G263" s="4"/>
      <c r="H263" s="4"/>
      <c r="I263" s="4"/>
      <c r="J263" s="4"/>
      <c r="K263" s="4"/>
      <c r="L263" s="4"/>
      <c r="M263" s="4"/>
      <c r="N263" s="4"/>
      <c r="O263" s="6"/>
    </row>
    <row r="264" spans="2:15" s="46" customFormat="1">
      <c r="B264" s="3"/>
      <c r="C264" s="3"/>
      <c r="G264" s="4"/>
      <c r="H264" s="4"/>
      <c r="I264" s="4"/>
      <c r="J264" s="4"/>
      <c r="K264" s="4"/>
      <c r="L264" s="4"/>
      <c r="M264" s="4"/>
      <c r="N264" s="4"/>
      <c r="O264" s="6"/>
    </row>
    <row r="265" spans="2:15" s="46" customFormat="1">
      <c r="B265" s="3"/>
      <c r="C265" s="3"/>
      <c r="G265" s="4"/>
      <c r="H265" s="4"/>
      <c r="I265" s="4"/>
      <c r="J265" s="4"/>
      <c r="K265" s="4"/>
      <c r="L265" s="4"/>
      <c r="M265" s="4"/>
      <c r="N265" s="4"/>
      <c r="O265" s="6"/>
    </row>
    <row r="266" spans="2:15" s="46" customFormat="1">
      <c r="B266" s="3"/>
      <c r="C266" s="3"/>
      <c r="G266" s="4"/>
      <c r="H266" s="4"/>
      <c r="I266" s="4"/>
      <c r="J266" s="4"/>
      <c r="K266" s="4"/>
      <c r="L266" s="4"/>
      <c r="M266" s="4"/>
      <c r="N266" s="4"/>
      <c r="O266" s="6"/>
    </row>
    <row r="267" spans="2:15" s="46" customFormat="1">
      <c r="B267" s="3"/>
      <c r="C267" s="3"/>
      <c r="G267" s="4"/>
      <c r="H267" s="4"/>
      <c r="I267" s="4"/>
      <c r="J267" s="4"/>
      <c r="K267" s="4"/>
      <c r="L267" s="4"/>
      <c r="M267" s="4"/>
      <c r="N267" s="4"/>
      <c r="O267" s="6"/>
    </row>
    <row r="268" spans="2:15" s="46" customFormat="1">
      <c r="B268" s="3"/>
      <c r="C268" s="3"/>
      <c r="G268" s="4"/>
      <c r="H268" s="4"/>
      <c r="I268" s="4"/>
      <c r="J268" s="4"/>
      <c r="K268" s="4"/>
      <c r="L268" s="4"/>
      <c r="M268" s="4"/>
      <c r="N268" s="4"/>
      <c r="O268" s="6"/>
    </row>
    <row r="269" spans="2:15" s="46" customFormat="1">
      <c r="B269" s="3"/>
      <c r="C269" s="3"/>
      <c r="G269" s="4"/>
      <c r="H269" s="4"/>
      <c r="I269" s="4"/>
      <c r="J269" s="4"/>
      <c r="K269" s="4"/>
      <c r="L269" s="4"/>
      <c r="M269" s="4"/>
      <c r="N269" s="4"/>
      <c r="O269" s="6"/>
    </row>
    <row r="270" spans="2:15" s="46" customFormat="1">
      <c r="B270" s="3"/>
      <c r="C270" s="3"/>
      <c r="G270" s="4"/>
      <c r="H270" s="4"/>
      <c r="I270" s="4"/>
      <c r="J270" s="4"/>
      <c r="K270" s="4"/>
      <c r="L270" s="4"/>
      <c r="M270" s="4"/>
      <c r="N270" s="4"/>
      <c r="O270" s="6"/>
    </row>
    <row r="271" spans="2:15" s="46" customFormat="1">
      <c r="B271" s="3"/>
      <c r="C271" s="3"/>
      <c r="G271" s="4"/>
      <c r="H271" s="4"/>
      <c r="I271" s="4"/>
      <c r="J271" s="4"/>
      <c r="K271" s="4"/>
      <c r="L271" s="4"/>
      <c r="M271" s="4"/>
      <c r="N271" s="4"/>
      <c r="O271" s="6"/>
    </row>
    <row r="272" spans="2:15" s="46" customFormat="1">
      <c r="B272" s="3"/>
      <c r="C272" s="3"/>
      <c r="G272" s="4"/>
      <c r="H272" s="4"/>
      <c r="I272" s="4"/>
      <c r="J272" s="4"/>
      <c r="K272" s="4"/>
      <c r="L272" s="4"/>
      <c r="M272" s="4"/>
      <c r="N272" s="4"/>
      <c r="O272" s="6"/>
    </row>
    <row r="273" spans="2:15" s="46" customFormat="1">
      <c r="B273" s="3"/>
      <c r="C273" s="3"/>
      <c r="G273" s="4"/>
      <c r="H273" s="4"/>
      <c r="I273" s="4"/>
      <c r="J273" s="4"/>
      <c r="K273" s="4"/>
      <c r="L273" s="4"/>
      <c r="M273" s="4"/>
      <c r="N273" s="4"/>
      <c r="O273" s="6"/>
    </row>
    <row r="274" spans="2:15" s="46" customFormat="1">
      <c r="B274" s="3"/>
      <c r="C274" s="3"/>
      <c r="G274" s="4"/>
      <c r="H274" s="4"/>
      <c r="I274" s="4"/>
      <c r="J274" s="4"/>
      <c r="K274" s="4"/>
      <c r="L274" s="4"/>
      <c r="M274" s="4"/>
      <c r="N274" s="4"/>
      <c r="O274" s="6"/>
    </row>
    <row r="275" spans="2:15" s="46" customFormat="1">
      <c r="B275" s="3"/>
      <c r="C275" s="3"/>
      <c r="G275" s="4"/>
      <c r="H275" s="4"/>
      <c r="I275" s="4"/>
      <c r="J275" s="4"/>
      <c r="K275" s="4"/>
      <c r="L275" s="4"/>
      <c r="M275" s="4"/>
      <c r="N275" s="4"/>
      <c r="O275" s="6"/>
    </row>
    <row r="276" spans="2:15" s="46" customFormat="1">
      <c r="B276" s="3"/>
      <c r="C276" s="3"/>
      <c r="G276" s="4"/>
      <c r="H276" s="4"/>
      <c r="I276" s="4"/>
      <c r="J276" s="4"/>
      <c r="K276" s="4"/>
      <c r="L276" s="4"/>
      <c r="M276" s="4"/>
      <c r="N276" s="4"/>
      <c r="O276" s="6"/>
    </row>
    <row r="277" spans="2:15" s="46" customFormat="1">
      <c r="B277" s="3"/>
      <c r="C277" s="3"/>
      <c r="G277" s="4"/>
      <c r="H277" s="4"/>
      <c r="I277" s="4"/>
      <c r="J277" s="4"/>
      <c r="K277" s="4"/>
      <c r="L277" s="4"/>
      <c r="M277" s="4"/>
      <c r="N277" s="4"/>
      <c r="O277" s="6"/>
    </row>
    <row r="278" spans="2:15" s="46" customFormat="1">
      <c r="B278" s="3"/>
      <c r="C278" s="3"/>
      <c r="G278" s="4"/>
      <c r="H278" s="4"/>
      <c r="I278" s="4"/>
      <c r="J278" s="4"/>
      <c r="K278" s="4"/>
      <c r="L278" s="4"/>
      <c r="M278" s="4"/>
      <c r="N278" s="4"/>
      <c r="O278" s="6"/>
    </row>
    <row r="279" spans="2:15" s="46" customFormat="1">
      <c r="B279" s="3"/>
      <c r="C279" s="3"/>
      <c r="G279" s="4"/>
      <c r="H279" s="4"/>
      <c r="I279" s="4"/>
      <c r="J279" s="4"/>
      <c r="K279" s="4"/>
      <c r="L279" s="4"/>
      <c r="M279" s="4"/>
      <c r="N279" s="4"/>
      <c r="O279" s="6"/>
    </row>
    <row r="280" spans="2:15" s="46" customFormat="1">
      <c r="B280" s="3"/>
      <c r="C280" s="3"/>
      <c r="G280" s="4"/>
      <c r="H280" s="4"/>
      <c r="I280" s="4"/>
      <c r="J280" s="4"/>
      <c r="K280" s="4"/>
      <c r="L280" s="4"/>
      <c r="M280" s="4"/>
      <c r="N280" s="4"/>
      <c r="O280" s="6"/>
    </row>
    <row r="281" spans="2:15" s="46" customFormat="1">
      <c r="B281" s="3"/>
      <c r="C281" s="3"/>
      <c r="G281" s="4"/>
      <c r="H281" s="4"/>
      <c r="I281" s="4"/>
      <c r="J281" s="4"/>
      <c r="K281" s="4"/>
      <c r="L281" s="4"/>
      <c r="M281" s="4"/>
      <c r="N281" s="4"/>
      <c r="O281" s="6"/>
    </row>
    <row r="282" spans="2:15" s="46" customFormat="1">
      <c r="B282" s="3"/>
      <c r="C282" s="3"/>
      <c r="G282" s="4"/>
      <c r="H282" s="4"/>
      <c r="I282" s="4"/>
      <c r="J282" s="4"/>
      <c r="K282" s="4"/>
      <c r="L282" s="4"/>
      <c r="M282" s="4"/>
      <c r="N282" s="4"/>
      <c r="O282" s="6"/>
    </row>
    <row r="283" spans="2:15" s="46" customFormat="1">
      <c r="B283" s="3"/>
      <c r="C283" s="3"/>
      <c r="G283" s="4"/>
      <c r="H283" s="4"/>
      <c r="I283" s="4"/>
      <c r="J283" s="4"/>
      <c r="K283" s="4"/>
      <c r="L283" s="4"/>
      <c r="M283" s="4"/>
      <c r="N283" s="4"/>
      <c r="O283" s="6"/>
    </row>
    <row r="284" spans="2:15" s="46" customFormat="1">
      <c r="B284" s="3"/>
      <c r="C284" s="3"/>
      <c r="G284" s="4"/>
      <c r="H284" s="4"/>
      <c r="I284" s="4"/>
      <c r="J284" s="4"/>
      <c r="K284" s="4"/>
      <c r="L284" s="4"/>
      <c r="M284" s="4"/>
      <c r="N284" s="4"/>
      <c r="O284" s="6"/>
    </row>
    <row r="285" spans="2:15" s="46" customFormat="1">
      <c r="B285" s="3"/>
      <c r="C285" s="3"/>
      <c r="G285" s="4"/>
      <c r="H285" s="4"/>
      <c r="I285" s="4"/>
      <c r="J285" s="4"/>
      <c r="K285" s="4"/>
      <c r="L285" s="4"/>
      <c r="M285" s="4"/>
      <c r="N285" s="4"/>
      <c r="O285" s="6"/>
    </row>
    <row r="286" spans="2:15" s="46" customFormat="1">
      <c r="B286" s="3"/>
      <c r="C286" s="3"/>
      <c r="G286" s="4"/>
      <c r="H286" s="4"/>
      <c r="I286" s="4"/>
      <c r="J286" s="4"/>
      <c r="K286" s="4"/>
      <c r="L286" s="4"/>
      <c r="M286" s="4"/>
      <c r="N286" s="4"/>
      <c r="O286" s="6"/>
    </row>
    <row r="287" spans="2:15" s="46" customFormat="1">
      <c r="B287" s="3"/>
      <c r="C287" s="3"/>
      <c r="G287" s="4"/>
      <c r="H287" s="4"/>
      <c r="I287" s="4"/>
      <c r="J287" s="4"/>
      <c r="K287" s="4"/>
      <c r="L287" s="4"/>
      <c r="M287" s="4"/>
      <c r="N287" s="4"/>
      <c r="O287" s="6"/>
    </row>
    <row r="288" spans="2:15" s="46" customFormat="1">
      <c r="B288" s="3"/>
      <c r="C288" s="3"/>
      <c r="G288" s="4"/>
      <c r="H288" s="4"/>
      <c r="I288" s="4"/>
      <c r="J288" s="4"/>
      <c r="K288" s="4"/>
      <c r="L288" s="4"/>
      <c r="M288" s="4"/>
      <c r="N288" s="4"/>
      <c r="O288" s="6"/>
    </row>
    <row r="289" spans="2:15" s="46" customFormat="1">
      <c r="B289" s="3"/>
      <c r="C289" s="3"/>
      <c r="G289" s="4"/>
      <c r="H289" s="4"/>
      <c r="I289" s="4"/>
      <c r="J289" s="4"/>
      <c r="K289" s="4"/>
      <c r="L289" s="4"/>
      <c r="M289" s="4"/>
      <c r="N289" s="4"/>
      <c r="O289" s="6"/>
    </row>
    <row r="290" spans="2:15" s="46" customFormat="1">
      <c r="B290" s="3"/>
      <c r="C290" s="3"/>
      <c r="G290" s="4"/>
      <c r="H290" s="4"/>
      <c r="I290" s="4"/>
      <c r="J290" s="4"/>
      <c r="K290" s="4"/>
      <c r="L290" s="4"/>
      <c r="M290" s="4"/>
      <c r="N290" s="4"/>
      <c r="O290" s="6"/>
    </row>
    <row r="291" spans="2:15" s="46" customFormat="1">
      <c r="B291" s="3"/>
      <c r="C291" s="3"/>
      <c r="G291" s="4"/>
      <c r="H291" s="4"/>
      <c r="I291" s="4"/>
      <c r="J291" s="4"/>
      <c r="K291" s="4"/>
      <c r="L291" s="4"/>
      <c r="M291" s="4"/>
      <c r="N291" s="4"/>
      <c r="O291" s="6"/>
    </row>
    <row r="292" spans="2:15" s="46" customFormat="1">
      <c r="B292" s="3"/>
      <c r="C292" s="3"/>
      <c r="G292" s="4"/>
      <c r="H292" s="4"/>
      <c r="I292" s="4"/>
      <c r="J292" s="4"/>
      <c r="K292" s="4"/>
      <c r="L292" s="4"/>
      <c r="M292" s="4"/>
      <c r="N292" s="4"/>
      <c r="O292" s="6"/>
    </row>
    <row r="293" spans="2:15" s="46" customFormat="1">
      <c r="B293" s="3"/>
      <c r="C293" s="3"/>
      <c r="G293" s="4"/>
      <c r="H293" s="4"/>
      <c r="I293" s="4"/>
      <c r="J293" s="4"/>
      <c r="K293" s="4"/>
      <c r="L293" s="4"/>
      <c r="M293" s="4"/>
      <c r="N293" s="4"/>
      <c r="O293" s="6"/>
    </row>
    <row r="294" spans="2:15" s="46" customFormat="1">
      <c r="B294" s="3"/>
      <c r="C294" s="3"/>
      <c r="G294" s="4"/>
      <c r="H294" s="4"/>
      <c r="I294" s="4"/>
      <c r="J294" s="4"/>
      <c r="K294" s="4"/>
      <c r="L294" s="4"/>
      <c r="M294" s="4"/>
      <c r="N294" s="4"/>
      <c r="O294" s="6"/>
    </row>
    <row r="295" spans="2:15" s="46" customFormat="1">
      <c r="B295" s="3"/>
      <c r="C295" s="3"/>
      <c r="G295" s="4"/>
      <c r="H295" s="4"/>
      <c r="I295" s="4"/>
      <c r="J295" s="4"/>
      <c r="K295" s="4"/>
      <c r="L295" s="4"/>
      <c r="M295" s="4"/>
      <c r="N295" s="4"/>
      <c r="O295" s="6"/>
    </row>
    <row r="296" spans="2:15" s="46" customFormat="1">
      <c r="B296" s="3"/>
      <c r="C296" s="3"/>
      <c r="G296" s="4"/>
      <c r="H296" s="4"/>
      <c r="I296" s="4"/>
      <c r="J296" s="4"/>
      <c r="K296" s="4"/>
      <c r="L296" s="4"/>
      <c r="M296" s="4"/>
      <c r="N296" s="4"/>
      <c r="O296" s="6"/>
    </row>
    <row r="297" spans="2:15" s="46" customFormat="1">
      <c r="B297" s="3"/>
      <c r="C297" s="3"/>
      <c r="G297" s="4"/>
      <c r="H297" s="4"/>
      <c r="I297" s="4"/>
      <c r="J297" s="4"/>
      <c r="K297" s="4"/>
      <c r="L297" s="4"/>
      <c r="M297" s="4"/>
      <c r="N297" s="4"/>
      <c r="O297" s="6"/>
    </row>
    <row r="298" spans="2:15" s="46" customFormat="1">
      <c r="B298" s="3"/>
      <c r="C298" s="3"/>
      <c r="G298" s="4"/>
      <c r="H298" s="4"/>
      <c r="I298" s="4"/>
      <c r="J298" s="4"/>
      <c r="K298" s="4"/>
      <c r="L298" s="4"/>
      <c r="M298" s="4"/>
      <c r="N298" s="4"/>
      <c r="O298" s="6"/>
    </row>
    <row r="299" spans="2:15" s="46" customFormat="1">
      <c r="B299" s="3"/>
      <c r="C299" s="3"/>
      <c r="G299" s="4"/>
      <c r="H299" s="4"/>
      <c r="I299" s="4"/>
      <c r="J299" s="4"/>
      <c r="K299" s="4"/>
      <c r="L299" s="4"/>
      <c r="M299" s="4"/>
      <c r="N299" s="4"/>
      <c r="O299" s="6"/>
    </row>
    <row r="300" spans="2:15" s="46" customFormat="1">
      <c r="B300" s="3"/>
      <c r="C300" s="3"/>
      <c r="G300" s="4"/>
      <c r="H300" s="4"/>
      <c r="I300" s="4"/>
      <c r="J300" s="4"/>
      <c r="K300" s="4"/>
      <c r="L300" s="4"/>
      <c r="M300" s="4"/>
      <c r="N300" s="4"/>
      <c r="O300" s="6"/>
    </row>
    <row r="301" spans="2:15" s="46" customFormat="1">
      <c r="B301" s="3"/>
      <c r="C301" s="3"/>
      <c r="G301" s="4"/>
      <c r="H301" s="4"/>
      <c r="I301" s="4"/>
      <c r="J301" s="4"/>
      <c r="K301" s="4"/>
      <c r="L301" s="4"/>
      <c r="M301" s="4"/>
      <c r="N301" s="4"/>
      <c r="O301" s="6"/>
    </row>
    <row r="302" spans="2:15" s="46" customFormat="1">
      <c r="B302" s="3"/>
      <c r="C302" s="3"/>
      <c r="G302" s="4"/>
      <c r="H302" s="4"/>
      <c r="I302" s="4"/>
      <c r="J302" s="4"/>
      <c r="K302" s="4"/>
      <c r="L302" s="4"/>
      <c r="M302" s="4"/>
      <c r="N302" s="4"/>
      <c r="O302" s="6"/>
    </row>
    <row r="303" spans="2:15" s="46" customFormat="1">
      <c r="B303" s="3"/>
      <c r="C303" s="3"/>
      <c r="G303" s="4"/>
      <c r="H303" s="4"/>
      <c r="I303" s="4"/>
      <c r="J303" s="4"/>
      <c r="K303" s="4"/>
      <c r="L303" s="4"/>
      <c r="M303" s="4"/>
      <c r="N303" s="4"/>
      <c r="O303" s="6"/>
    </row>
    <row r="304" spans="2:15" s="46" customFormat="1">
      <c r="B304" s="3"/>
      <c r="C304" s="3"/>
      <c r="G304" s="4"/>
      <c r="H304" s="4"/>
      <c r="I304" s="4"/>
      <c r="J304" s="4"/>
      <c r="K304" s="4"/>
      <c r="L304" s="4"/>
      <c r="M304" s="4"/>
      <c r="N304" s="4"/>
      <c r="O304" s="6"/>
    </row>
    <row r="305" spans="2:15" s="46" customFormat="1">
      <c r="B305" s="3"/>
      <c r="C305" s="3"/>
      <c r="G305" s="4"/>
      <c r="H305" s="4"/>
      <c r="I305" s="4"/>
      <c r="J305" s="4"/>
      <c r="K305" s="4"/>
      <c r="L305" s="4"/>
      <c r="M305" s="4"/>
      <c r="N305" s="4"/>
      <c r="O305" s="6"/>
    </row>
    <row r="306" spans="2:15" s="46" customFormat="1">
      <c r="B306" s="3"/>
      <c r="C306" s="3"/>
      <c r="G306" s="4"/>
      <c r="H306" s="4"/>
      <c r="I306" s="4"/>
      <c r="J306" s="4"/>
      <c r="K306" s="4"/>
      <c r="L306" s="4"/>
      <c r="M306" s="4"/>
      <c r="N306" s="4"/>
      <c r="O306" s="6"/>
    </row>
    <row r="307" spans="2:15" s="46" customFormat="1">
      <c r="B307" s="3"/>
      <c r="C307" s="3"/>
      <c r="G307" s="4"/>
      <c r="H307" s="4"/>
      <c r="I307" s="4"/>
      <c r="J307" s="4"/>
      <c r="K307" s="4"/>
      <c r="L307" s="4"/>
      <c r="M307" s="4"/>
      <c r="N307" s="4"/>
      <c r="O307" s="6"/>
    </row>
    <row r="308" spans="2:15" s="46" customFormat="1">
      <c r="B308" s="3"/>
      <c r="C308" s="3"/>
      <c r="G308" s="4"/>
      <c r="H308" s="4"/>
      <c r="I308" s="4"/>
      <c r="J308" s="4"/>
      <c r="K308" s="4"/>
      <c r="L308" s="4"/>
      <c r="M308" s="4"/>
      <c r="N308" s="4"/>
      <c r="O308" s="6"/>
    </row>
    <row r="309" spans="2:15" s="46" customFormat="1">
      <c r="B309" s="3"/>
      <c r="C309" s="3"/>
      <c r="G309" s="4"/>
      <c r="H309" s="4"/>
      <c r="I309" s="4"/>
      <c r="J309" s="4"/>
      <c r="K309" s="4"/>
      <c r="L309" s="4"/>
      <c r="M309" s="4"/>
      <c r="N309" s="4"/>
      <c r="O309" s="6"/>
    </row>
    <row r="310" spans="2:15" s="46" customFormat="1">
      <c r="B310" s="3"/>
      <c r="C310" s="3"/>
      <c r="G310" s="4"/>
      <c r="H310" s="4"/>
      <c r="I310" s="4"/>
      <c r="J310" s="4"/>
      <c r="K310" s="4"/>
      <c r="L310" s="4"/>
      <c r="M310" s="4"/>
      <c r="N310" s="4"/>
      <c r="O310" s="6"/>
    </row>
    <row r="311" spans="2:15" s="46" customFormat="1">
      <c r="B311" s="3"/>
      <c r="C311" s="3"/>
      <c r="G311" s="4"/>
      <c r="H311" s="4"/>
      <c r="I311" s="4"/>
      <c r="J311" s="4"/>
      <c r="K311" s="4"/>
      <c r="L311" s="4"/>
      <c r="M311" s="4"/>
      <c r="N311" s="4"/>
      <c r="O311" s="6"/>
    </row>
    <row r="312" spans="2:15" s="46" customFormat="1">
      <c r="B312" s="3"/>
      <c r="C312" s="3"/>
      <c r="G312" s="4"/>
      <c r="H312" s="4"/>
      <c r="I312" s="4"/>
      <c r="J312" s="4"/>
      <c r="K312" s="4"/>
      <c r="L312" s="4"/>
      <c r="M312" s="4"/>
      <c r="N312" s="4"/>
      <c r="O312" s="6"/>
    </row>
    <row r="313" spans="2:15" s="46" customFormat="1">
      <c r="B313" s="3"/>
      <c r="C313" s="3"/>
      <c r="G313" s="4"/>
      <c r="H313" s="4"/>
      <c r="I313" s="4"/>
      <c r="J313" s="4"/>
      <c r="K313" s="4"/>
      <c r="L313" s="4"/>
      <c r="M313" s="4"/>
      <c r="N313" s="4"/>
      <c r="O313" s="6"/>
    </row>
    <row r="314" spans="2:15" s="46" customFormat="1">
      <c r="B314" s="3"/>
      <c r="C314" s="3"/>
      <c r="G314" s="4"/>
      <c r="H314" s="4"/>
      <c r="I314" s="4"/>
      <c r="J314" s="4"/>
      <c r="K314" s="4"/>
      <c r="L314" s="4"/>
      <c r="M314" s="4"/>
      <c r="N314" s="4"/>
      <c r="O314" s="6"/>
    </row>
    <row r="315" spans="2:15" s="46" customFormat="1">
      <c r="B315" s="3"/>
      <c r="C315" s="3"/>
      <c r="G315" s="4"/>
      <c r="H315" s="4"/>
      <c r="I315" s="4"/>
      <c r="J315" s="4"/>
      <c r="K315" s="4"/>
      <c r="L315" s="4"/>
      <c r="M315" s="4"/>
      <c r="N315" s="4"/>
      <c r="O315" s="6"/>
    </row>
    <row r="316" spans="2:15" s="46" customFormat="1">
      <c r="B316" s="3"/>
      <c r="C316" s="3"/>
      <c r="G316" s="4"/>
      <c r="H316" s="4"/>
      <c r="I316" s="4"/>
      <c r="J316" s="4"/>
      <c r="K316" s="4"/>
      <c r="L316" s="4"/>
      <c r="M316" s="4"/>
      <c r="N316" s="4"/>
      <c r="O316" s="6"/>
    </row>
    <row r="317" spans="2:15" s="46" customFormat="1">
      <c r="B317" s="3"/>
      <c r="C317" s="3"/>
      <c r="G317" s="4"/>
      <c r="H317" s="4"/>
      <c r="I317" s="4"/>
      <c r="J317" s="4"/>
      <c r="K317" s="4"/>
      <c r="L317" s="4"/>
      <c r="M317" s="4"/>
      <c r="N317" s="4"/>
      <c r="O317" s="6"/>
    </row>
    <row r="318" spans="2:15" s="46" customFormat="1">
      <c r="B318" s="3"/>
      <c r="C318" s="3"/>
      <c r="G318" s="4"/>
      <c r="H318" s="4"/>
      <c r="I318" s="4"/>
      <c r="J318" s="4"/>
      <c r="K318" s="4"/>
      <c r="L318" s="4"/>
      <c r="M318" s="4"/>
      <c r="N318" s="4"/>
      <c r="O318" s="6"/>
    </row>
    <row r="319" spans="2:15" s="46" customFormat="1">
      <c r="B319" s="3"/>
      <c r="C319" s="3"/>
      <c r="G319" s="4"/>
      <c r="H319" s="4"/>
      <c r="I319" s="4"/>
      <c r="J319" s="4"/>
      <c r="K319" s="4"/>
      <c r="L319" s="4"/>
      <c r="M319" s="4"/>
      <c r="N319" s="4"/>
      <c r="O319" s="6"/>
    </row>
    <row r="320" spans="2:15" s="46" customFormat="1">
      <c r="B320" s="3"/>
      <c r="C320" s="3"/>
      <c r="G320" s="4"/>
      <c r="H320" s="4"/>
      <c r="I320" s="4"/>
      <c r="J320" s="4"/>
      <c r="K320" s="4"/>
      <c r="L320" s="4"/>
      <c r="M320" s="4"/>
      <c r="N320" s="4"/>
      <c r="O320" s="6"/>
    </row>
    <row r="321" spans="2:15" s="46" customFormat="1">
      <c r="B321" s="3"/>
      <c r="C321" s="3"/>
      <c r="G321" s="4"/>
      <c r="H321" s="4"/>
      <c r="I321" s="4"/>
      <c r="J321" s="4"/>
      <c r="K321" s="4"/>
      <c r="L321" s="4"/>
      <c r="M321" s="4"/>
      <c r="N321" s="4"/>
      <c r="O321" s="6"/>
    </row>
    <row r="322" spans="2:15" s="46" customFormat="1">
      <c r="B322" s="3"/>
      <c r="C322" s="3"/>
      <c r="G322" s="4"/>
      <c r="H322" s="4"/>
      <c r="I322" s="4"/>
      <c r="J322" s="4"/>
      <c r="K322" s="4"/>
      <c r="L322" s="4"/>
      <c r="M322" s="4"/>
      <c r="N322" s="4"/>
      <c r="O322" s="6"/>
    </row>
    <row r="323" spans="2:15" s="46" customFormat="1">
      <c r="B323" s="3"/>
      <c r="C323" s="3"/>
      <c r="G323" s="4"/>
      <c r="H323" s="4"/>
      <c r="I323" s="4"/>
      <c r="J323" s="4"/>
      <c r="K323" s="4"/>
      <c r="L323" s="4"/>
      <c r="M323" s="4"/>
      <c r="N323" s="4"/>
      <c r="O323" s="6"/>
    </row>
    <row r="324" spans="2:15" s="46" customFormat="1">
      <c r="B324" s="3"/>
      <c r="C324" s="3"/>
      <c r="G324" s="4"/>
      <c r="H324" s="4"/>
      <c r="I324" s="4"/>
      <c r="J324" s="4"/>
      <c r="K324" s="4"/>
      <c r="L324" s="4"/>
      <c r="M324" s="4"/>
      <c r="N324" s="4"/>
      <c r="O324" s="6"/>
    </row>
    <row r="325" spans="2:15" s="46" customFormat="1">
      <c r="B325" s="3"/>
      <c r="C325" s="3"/>
      <c r="G325" s="4"/>
      <c r="H325" s="4"/>
      <c r="I325" s="4"/>
      <c r="J325" s="4"/>
      <c r="K325" s="4"/>
      <c r="L325" s="4"/>
      <c r="M325" s="4"/>
      <c r="N325" s="4"/>
      <c r="O325" s="6"/>
    </row>
    <row r="326" spans="2:15" s="46" customFormat="1">
      <c r="B326" s="3"/>
      <c r="C326" s="3"/>
      <c r="G326" s="4"/>
      <c r="H326" s="4"/>
      <c r="I326" s="4"/>
      <c r="J326" s="4"/>
      <c r="K326" s="4"/>
      <c r="L326" s="4"/>
      <c r="M326" s="4"/>
      <c r="N326" s="4"/>
      <c r="O326" s="6"/>
    </row>
    <row r="327" spans="2:15" s="46" customFormat="1">
      <c r="B327" s="3"/>
      <c r="C327" s="3"/>
      <c r="G327" s="4"/>
      <c r="H327" s="4"/>
      <c r="I327" s="4"/>
      <c r="J327" s="4"/>
      <c r="K327" s="4"/>
      <c r="L327" s="4"/>
      <c r="M327" s="4"/>
      <c r="N327" s="4"/>
      <c r="O327" s="6"/>
    </row>
    <row r="328" spans="2:15" s="46" customFormat="1">
      <c r="B328" s="3"/>
      <c r="C328" s="3"/>
      <c r="G328" s="4"/>
      <c r="H328" s="4"/>
      <c r="I328" s="4"/>
      <c r="J328" s="4"/>
      <c r="K328" s="4"/>
      <c r="L328" s="4"/>
      <c r="M328" s="4"/>
      <c r="N328" s="4"/>
      <c r="O328" s="6"/>
    </row>
    <row r="329" spans="2:15" s="46" customFormat="1">
      <c r="B329" s="3"/>
      <c r="C329" s="3"/>
      <c r="G329" s="4"/>
      <c r="H329" s="4"/>
      <c r="I329" s="4"/>
      <c r="J329" s="4"/>
      <c r="K329" s="4"/>
      <c r="L329" s="4"/>
      <c r="M329" s="4"/>
      <c r="N329" s="4"/>
      <c r="O329" s="6"/>
    </row>
    <row r="330" spans="2:15" s="46" customFormat="1">
      <c r="B330" s="3"/>
      <c r="C330" s="3"/>
      <c r="G330" s="4"/>
      <c r="H330" s="4"/>
      <c r="I330" s="4"/>
      <c r="J330" s="4"/>
      <c r="K330" s="4"/>
      <c r="L330" s="4"/>
      <c r="M330" s="4"/>
      <c r="N330" s="4"/>
      <c r="O330" s="6"/>
    </row>
    <row r="331" spans="2:15" s="46" customFormat="1">
      <c r="B331" s="3"/>
      <c r="C331" s="3"/>
      <c r="G331" s="4"/>
      <c r="H331" s="4"/>
      <c r="I331" s="4"/>
      <c r="J331" s="4"/>
      <c r="K331" s="4"/>
      <c r="L331" s="4"/>
      <c r="M331" s="4"/>
      <c r="N331" s="4"/>
      <c r="O331" s="6"/>
    </row>
    <row r="332" spans="2:15" s="46" customFormat="1">
      <c r="B332" s="3"/>
      <c r="C332" s="3"/>
      <c r="G332" s="4"/>
      <c r="H332" s="4"/>
      <c r="I332" s="4"/>
      <c r="J332" s="4"/>
      <c r="K332" s="4"/>
      <c r="L332" s="4"/>
      <c r="M332" s="4"/>
      <c r="N332" s="4"/>
      <c r="O332" s="6"/>
    </row>
    <row r="333" spans="2:15" s="46" customFormat="1">
      <c r="B333" s="3"/>
      <c r="C333" s="3"/>
      <c r="G333" s="4"/>
      <c r="H333" s="4"/>
      <c r="I333" s="4"/>
      <c r="J333" s="4"/>
      <c r="K333" s="4"/>
      <c r="L333" s="4"/>
      <c r="M333" s="4"/>
      <c r="N333" s="4"/>
      <c r="O333" s="6"/>
    </row>
    <row r="334" spans="2:15" s="46" customFormat="1">
      <c r="B334" s="3"/>
      <c r="C334" s="3"/>
      <c r="G334" s="4"/>
      <c r="H334" s="4"/>
      <c r="I334" s="4"/>
      <c r="J334" s="4"/>
      <c r="K334" s="4"/>
      <c r="L334" s="4"/>
      <c r="M334" s="4"/>
      <c r="N334" s="4"/>
      <c r="O334" s="6"/>
    </row>
    <row r="335" spans="2:15" s="46" customFormat="1">
      <c r="B335" s="3"/>
      <c r="C335" s="3"/>
      <c r="G335" s="4"/>
      <c r="H335" s="4"/>
      <c r="I335" s="4"/>
      <c r="J335" s="4"/>
      <c r="K335" s="4"/>
      <c r="L335" s="4"/>
      <c r="M335" s="4"/>
      <c r="N335" s="4"/>
      <c r="O335" s="6"/>
    </row>
    <row r="336" spans="2:15" s="46" customFormat="1">
      <c r="B336" s="3"/>
      <c r="C336" s="3"/>
      <c r="G336" s="4"/>
      <c r="H336" s="4"/>
      <c r="I336" s="4"/>
      <c r="J336" s="4"/>
      <c r="K336" s="4"/>
      <c r="L336" s="4"/>
      <c r="M336" s="4"/>
      <c r="N336" s="4"/>
      <c r="O336" s="6"/>
    </row>
    <row r="337" spans="2:15" s="46" customFormat="1">
      <c r="B337" s="3"/>
      <c r="C337" s="3"/>
      <c r="G337" s="4"/>
      <c r="H337" s="4"/>
      <c r="I337" s="4"/>
      <c r="J337" s="4"/>
      <c r="K337" s="4"/>
      <c r="L337" s="4"/>
      <c r="M337" s="4"/>
      <c r="N337" s="4"/>
      <c r="O337" s="6"/>
    </row>
    <row r="338" spans="2:15" s="46" customFormat="1">
      <c r="B338" s="3"/>
      <c r="C338" s="3"/>
      <c r="G338" s="4"/>
      <c r="H338" s="4"/>
      <c r="I338" s="4"/>
      <c r="J338" s="4"/>
      <c r="K338" s="4"/>
      <c r="L338" s="4"/>
      <c r="M338" s="4"/>
      <c r="N338" s="4"/>
      <c r="O338" s="6"/>
    </row>
    <row r="339" spans="2:15" s="46" customFormat="1">
      <c r="B339" s="3"/>
      <c r="C339" s="3"/>
      <c r="G339" s="4"/>
      <c r="H339" s="4"/>
      <c r="I339" s="4"/>
      <c r="J339" s="4"/>
      <c r="K339" s="4"/>
      <c r="L339" s="4"/>
      <c r="M339" s="4"/>
      <c r="N339" s="4"/>
      <c r="O339" s="6"/>
    </row>
    <row r="340" spans="2:15" s="46" customFormat="1">
      <c r="B340" s="3"/>
      <c r="C340" s="3"/>
      <c r="G340" s="4"/>
      <c r="H340" s="4"/>
      <c r="I340" s="4"/>
      <c r="J340" s="4"/>
      <c r="K340" s="4"/>
      <c r="L340" s="4"/>
      <c r="M340" s="4"/>
      <c r="N340" s="4"/>
      <c r="O340" s="6"/>
    </row>
    <row r="341" spans="2:15" s="46" customFormat="1">
      <c r="B341" s="3"/>
      <c r="C341" s="3"/>
      <c r="G341" s="4"/>
      <c r="H341" s="4"/>
      <c r="I341" s="4"/>
      <c r="J341" s="4"/>
      <c r="K341" s="4"/>
      <c r="L341" s="4"/>
      <c r="M341" s="4"/>
      <c r="N341" s="4"/>
      <c r="O341" s="6"/>
    </row>
    <row r="342" spans="2:15" s="46" customFormat="1">
      <c r="B342" s="3"/>
      <c r="C342" s="3"/>
      <c r="G342" s="4"/>
      <c r="H342" s="4"/>
      <c r="I342" s="4"/>
      <c r="J342" s="4"/>
      <c r="K342" s="4"/>
      <c r="L342" s="4"/>
      <c r="M342" s="4"/>
      <c r="N342" s="4"/>
      <c r="O342" s="6"/>
    </row>
    <row r="343" spans="2:15" s="46" customFormat="1">
      <c r="B343" s="3"/>
      <c r="C343" s="3"/>
      <c r="G343" s="4"/>
      <c r="H343" s="4"/>
      <c r="I343" s="4"/>
      <c r="J343" s="4"/>
      <c r="K343" s="4"/>
      <c r="L343" s="4"/>
      <c r="M343" s="4"/>
      <c r="N343" s="4"/>
      <c r="O343" s="6"/>
    </row>
    <row r="344" spans="2:15" s="46" customFormat="1">
      <c r="B344" s="3"/>
      <c r="C344" s="3"/>
      <c r="G344" s="4"/>
      <c r="H344" s="4"/>
      <c r="I344" s="4"/>
      <c r="J344" s="4"/>
      <c r="K344" s="4"/>
      <c r="L344" s="4"/>
      <c r="M344" s="4"/>
      <c r="N344" s="4"/>
      <c r="O344" s="6"/>
    </row>
    <row r="345" spans="2:15" s="46" customFormat="1">
      <c r="B345" s="3"/>
      <c r="C345" s="3"/>
      <c r="G345" s="4"/>
      <c r="H345" s="4"/>
      <c r="I345" s="4"/>
      <c r="J345" s="4"/>
      <c r="K345" s="4"/>
      <c r="L345" s="4"/>
      <c r="M345" s="4"/>
      <c r="N345" s="4"/>
      <c r="O345" s="6"/>
    </row>
    <row r="346" spans="2:15" s="46" customFormat="1">
      <c r="B346" s="3"/>
      <c r="C346" s="3"/>
      <c r="G346" s="4"/>
      <c r="H346" s="4"/>
      <c r="I346" s="4"/>
      <c r="J346" s="4"/>
      <c r="K346" s="4"/>
      <c r="L346" s="4"/>
      <c r="M346" s="4"/>
      <c r="N346" s="4"/>
      <c r="O346" s="6"/>
    </row>
    <row r="347" spans="2:15" s="46" customFormat="1">
      <c r="B347" s="3"/>
      <c r="C347" s="3"/>
      <c r="G347" s="4"/>
      <c r="H347" s="4"/>
      <c r="I347" s="4"/>
      <c r="J347" s="4"/>
      <c r="K347" s="4"/>
      <c r="L347" s="4"/>
      <c r="M347" s="4"/>
      <c r="N347" s="4"/>
      <c r="O347" s="6"/>
    </row>
    <row r="348" spans="2:15" s="46" customFormat="1">
      <c r="B348" s="3"/>
      <c r="C348" s="3"/>
      <c r="G348" s="4"/>
      <c r="H348" s="4"/>
      <c r="I348" s="4"/>
      <c r="J348" s="4"/>
      <c r="K348" s="4"/>
      <c r="L348" s="4"/>
      <c r="M348" s="4"/>
      <c r="N348" s="4"/>
      <c r="O348" s="6"/>
    </row>
    <row r="349" spans="2:15" s="46" customFormat="1">
      <c r="B349" s="3"/>
      <c r="C349" s="3"/>
      <c r="G349" s="4"/>
      <c r="H349" s="4"/>
      <c r="I349" s="4"/>
      <c r="J349" s="4"/>
      <c r="K349" s="4"/>
      <c r="L349" s="4"/>
      <c r="M349" s="4"/>
      <c r="N349" s="4"/>
      <c r="O349" s="6"/>
    </row>
    <row r="350" spans="2:15" s="46" customFormat="1">
      <c r="B350" s="3"/>
      <c r="C350" s="3"/>
      <c r="G350" s="4"/>
      <c r="H350" s="4"/>
      <c r="I350" s="4"/>
      <c r="J350" s="4"/>
      <c r="K350" s="4"/>
      <c r="L350" s="4"/>
      <c r="M350" s="4"/>
      <c r="N350" s="4"/>
      <c r="O350" s="6"/>
    </row>
    <row r="351" spans="2:15" s="46" customFormat="1">
      <c r="B351" s="3"/>
      <c r="C351" s="3"/>
      <c r="G351" s="4"/>
      <c r="H351" s="4"/>
      <c r="I351" s="4"/>
      <c r="J351" s="4"/>
      <c r="K351" s="4"/>
      <c r="L351" s="4"/>
      <c r="M351" s="4"/>
      <c r="N351" s="4"/>
      <c r="O351" s="6"/>
    </row>
    <row r="352" spans="2:15" s="46" customFormat="1">
      <c r="B352" s="3"/>
      <c r="C352" s="3"/>
      <c r="G352" s="4"/>
      <c r="H352" s="4"/>
      <c r="I352" s="4"/>
      <c r="J352" s="4"/>
      <c r="K352" s="4"/>
      <c r="L352" s="4"/>
      <c r="M352" s="4"/>
      <c r="N352" s="4"/>
      <c r="O352" s="6"/>
    </row>
    <row r="353" spans="2:15" s="46" customFormat="1">
      <c r="B353" s="3"/>
      <c r="C353" s="3"/>
      <c r="G353" s="4"/>
      <c r="H353" s="4"/>
      <c r="I353" s="4"/>
      <c r="J353" s="4"/>
      <c r="K353" s="4"/>
      <c r="L353" s="4"/>
      <c r="M353" s="4"/>
      <c r="N353" s="4"/>
      <c r="O353" s="6"/>
    </row>
    <row r="354" spans="2:15" s="46" customFormat="1">
      <c r="B354" s="3"/>
      <c r="C354" s="3"/>
      <c r="G354" s="4"/>
      <c r="H354" s="4"/>
      <c r="I354" s="4"/>
      <c r="J354" s="4"/>
      <c r="K354" s="4"/>
      <c r="L354" s="4"/>
      <c r="M354" s="4"/>
      <c r="N354" s="4"/>
      <c r="O354" s="6"/>
    </row>
    <row r="355" spans="2:15" s="46" customFormat="1">
      <c r="B355" s="3"/>
      <c r="C355" s="3"/>
      <c r="G355" s="4"/>
      <c r="H355" s="4"/>
      <c r="I355" s="4"/>
      <c r="J355" s="4"/>
      <c r="K355" s="4"/>
      <c r="L355" s="4"/>
      <c r="M355" s="4"/>
      <c r="N355" s="4"/>
      <c r="O355" s="6"/>
    </row>
    <row r="356" spans="2:15" s="46" customFormat="1">
      <c r="B356" s="3"/>
      <c r="C356" s="3"/>
      <c r="G356" s="4"/>
      <c r="H356" s="4"/>
      <c r="I356" s="4"/>
      <c r="J356" s="4"/>
      <c r="K356" s="4"/>
      <c r="L356" s="4"/>
      <c r="M356" s="4"/>
      <c r="N356" s="4"/>
      <c r="O356" s="6"/>
    </row>
    <row r="357" spans="2:15" s="46" customFormat="1">
      <c r="B357" s="3"/>
      <c r="C357" s="3"/>
      <c r="G357" s="4"/>
      <c r="H357" s="4"/>
      <c r="I357" s="4"/>
      <c r="J357" s="4"/>
      <c r="K357" s="4"/>
      <c r="L357" s="4"/>
      <c r="M357" s="4"/>
      <c r="N357" s="4"/>
      <c r="O357" s="6"/>
    </row>
    <row r="358" spans="2:15" s="46" customFormat="1">
      <c r="B358" s="3"/>
      <c r="C358" s="3"/>
      <c r="G358" s="4"/>
      <c r="H358" s="4"/>
      <c r="I358" s="4"/>
      <c r="J358" s="4"/>
      <c r="K358" s="4"/>
      <c r="L358" s="4"/>
      <c r="M358" s="4"/>
      <c r="N358" s="4"/>
      <c r="O358" s="6"/>
    </row>
    <row r="359" spans="2:15" s="46" customFormat="1">
      <c r="B359" s="3"/>
      <c r="C359" s="3"/>
      <c r="G359" s="4"/>
      <c r="H359" s="4"/>
      <c r="I359" s="4"/>
      <c r="J359" s="4"/>
      <c r="K359" s="4"/>
      <c r="L359" s="4"/>
      <c r="M359" s="4"/>
      <c r="N359" s="4"/>
      <c r="O359" s="6"/>
    </row>
    <row r="360" spans="2:15" s="46" customFormat="1">
      <c r="B360" s="3"/>
      <c r="C360" s="3"/>
      <c r="G360" s="4"/>
      <c r="H360" s="4"/>
      <c r="I360" s="4"/>
      <c r="J360" s="4"/>
      <c r="K360" s="4"/>
      <c r="L360" s="4"/>
      <c r="M360" s="4"/>
      <c r="N360" s="4"/>
      <c r="O360" s="6"/>
    </row>
    <row r="361" spans="2:15" s="46" customFormat="1">
      <c r="B361" s="3"/>
      <c r="C361" s="3"/>
      <c r="G361" s="4"/>
      <c r="H361" s="4"/>
      <c r="I361" s="4"/>
      <c r="J361" s="4"/>
      <c r="K361" s="4"/>
      <c r="L361" s="4"/>
      <c r="M361" s="4"/>
      <c r="N361" s="4"/>
      <c r="O361" s="6"/>
    </row>
    <row r="362" spans="2:15" s="46" customFormat="1">
      <c r="B362" s="3"/>
      <c r="C362" s="3"/>
      <c r="G362" s="4"/>
      <c r="H362" s="4"/>
      <c r="I362" s="4"/>
      <c r="J362" s="4"/>
      <c r="K362" s="4"/>
      <c r="L362" s="4"/>
      <c r="M362" s="4"/>
      <c r="N362" s="4"/>
      <c r="O362" s="6"/>
    </row>
    <row r="363" spans="2:15" s="46" customFormat="1">
      <c r="B363" s="3"/>
      <c r="C363" s="3"/>
      <c r="G363" s="4"/>
      <c r="H363" s="4"/>
      <c r="I363" s="4"/>
      <c r="J363" s="4"/>
      <c r="K363" s="4"/>
      <c r="L363" s="4"/>
      <c r="M363" s="4"/>
      <c r="N363" s="4"/>
      <c r="O363" s="6"/>
    </row>
    <row r="364" spans="2:15" s="46" customFormat="1">
      <c r="B364" s="3"/>
      <c r="C364" s="3"/>
      <c r="G364" s="4"/>
      <c r="H364" s="4"/>
      <c r="I364" s="4"/>
      <c r="J364" s="4"/>
      <c r="K364" s="4"/>
      <c r="L364" s="4"/>
      <c r="M364" s="4"/>
      <c r="N364" s="4"/>
      <c r="O364" s="6"/>
    </row>
    <row r="365" spans="2:15" s="46" customFormat="1">
      <c r="B365" s="3"/>
      <c r="C365" s="3"/>
      <c r="G365" s="4"/>
      <c r="H365" s="4"/>
      <c r="I365" s="4"/>
      <c r="J365" s="4"/>
      <c r="K365" s="4"/>
      <c r="L365" s="4"/>
      <c r="M365" s="4"/>
      <c r="N365" s="4"/>
      <c r="O365" s="6"/>
    </row>
    <row r="366" spans="2:15" s="46" customFormat="1">
      <c r="B366" s="3"/>
      <c r="C366" s="3"/>
      <c r="G366" s="4"/>
      <c r="H366" s="4"/>
      <c r="I366" s="4"/>
      <c r="J366" s="4"/>
      <c r="K366" s="4"/>
      <c r="L366" s="4"/>
      <c r="M366" s="4"/>
      <c r="N366" s="4"/>
      <c r="O366" s="6"/>
    </row>
    <row r="367" spans="2:15" s="46" customFormat="1">
      <c r="B367" s="3"/>
      <c r="C367" s="3"/>
      <c r="G367" s="4"/>
      <c r="H367" s="4"/>
      <c r="I367" s="4"/>
      <c r="J367" s="4"/>
      <c r="K367" s="4"/>
      <c r="L367" s="4"/>
      <c r="M367" s="4"/>
      <c r="N367" s="4"/>
      <c r="O367" s="6"/>
    </row>
    <row r="368" spans="2:15" s="46" customFormat="1">
      <c r="B368" s="3"/>
      <c r="C368" s="3"/>
      <c r="G368" s="4"/>
      <c r="H368" s="4"/>
      <c r="I368" s="4"/>
      <c r="J368" s="4"/>
      <c r="K368" s="4"/>
      <c r="L368" s="4"/>
      <c r="M368" s="4"/>
      <c r="N368" s="4"/>
      <c r="O368" s="6"/>
    </row>
    <row r="369" spans="2:15" s="46" customFormat="1">
      <c r="B369" s="3"/>
      <c r="C369" s="3"/>
      <c r="G369" s="4"/>
      <c r="H369" s="4"/>
      <c r="I369" s="4"/>
      <c r="J369" s="4"/>
      <c r="K369" s="4"/>
      <c r="L369" s="4"/>
      <c r="M369" s="4"/>
      <c r="N369" s="4"/>
      <c r="O369" s="6"/>
    </row>
    <row r="370" spans="2:15" s="46" customFormat="1">
      <c r="B370" s="3"/>
      <c r="C370" s="3"/>
      <c r="G370" s="4"/>
      <c r="H370" s="4"/>
      <c r="I370" s="4"/>
      <c r="J370" s="4"/>
      <c r="K370" s="4"/>
      <c r="L370" s="4"/>
      <c r="M370" s="4"/>
      <c r="N370" s="4"/>
      <c r="O370" s="6"/>
    </row>
    <row r="371" spans="2:15" s="46" customFormat="1">
      <c r="B371" s="3"/>
      <c r="C371" s="3"/>
      <c r="G371" s="4"/>
      <c r="H371" s="4"/>
      <c r="I371" s="4"/>
      <c r="J371" s="4"/>
      <c r="K371" s="4"/>
      <c r="L371" s="4"/>
      <c r="M371" s="4"/>
      <c r="N371" s="4"/>
      <c r="O371" s="6"/>
    </row>
    <row r="372" spans="2:15" s="46" customFormat="1">
      <c r="B372" s="3"/>
      <c r="C372" s="3"/>
      <c r="G372" s="4"/>
      <c r="H372" s="4"/>
      <c r="I372" s="4"/>
      <c r="J372" s="4"/>
      <c r="K372" s="4"/>
      <c r="L372" s="4"/>
      <c r="M372" s="4"/>
      <c r="N372" s="4"/>
      <c r="O372" s="6"/>
    </row>
    <row r="373" spans="2:15" s="46" customFormat="1">
      <c r="B373" s="3"/>
      <c r="C373" s="3"/>
      <c r="G373" s="4"/>
      <c r="H373" s="4"/>
      <c r="I373" s="4"/>
      <c r="J373" s="4"/>
      <c r="K373" s="4"/>
      <c r="L373" s="4"/>
      <c r="M373" s="4"/>
      <c r="N373" s="4"/>
      <c r="O373" s="6"/>
    </row>
    <row r="374" spans="2:15" s="46" customFormat="1">
      <c r="B374" s="3"/>
      <c r="C374" s="3"/>
      <c r="G374" s="4"/>
      <c r="H374" s="4"/>
      <c r="I374" s="4"/>
      <c r="J374" s="4"/>
      <c r="K374" s="4"/>
      <c r="L374" s="4"/>
      <c r="M374" s="4"/>
      <c r="N374" s="4"/>
      <c r="O374" s="6"/>
    </row>
    <row r="375" spans="2:15" s="46" customFormat="1">
      <c r="B375" s="3"/>
      <c r="C375" s="3"/>
      <c r="G375" s="4"/>
      <c r="H375" s="4"/>
      <c r="I375" s="4"/>
      <c r="J375" s="4"/>
      <c r="K375" s="4"/>
      <c r="L375" s="4"/>
      <c r="M375" s="4"/>
      <c r="N375" s="4"/>
      <c r="O375" s="6"/>
    </row>
    <row r="376" spans="2:15" s="46" customFormat="1">
      <c r="B376" s="3"/>
      <c r="C376" s="3"/>
      <c r="G376" s="4"/>
      <c r="H376" s="4"/>
      <c r="I376" s="4"/>
      <c r="J376" s="4"/>
      <c r="K376" s="4"/>
      <c r="L376" s="4"/>
      <c r="M376" s="4"/>
      <c r="N376" s="4"/>
      <c r="O376" s="6"/>
    </row>
    <row r="377" spans="2:15" s="46" customFormat="1">
      <c r="B377" s="3"/>
      <c r="C377" s="3"/>
      <c r="G377" s="4"/>
      <c r="H377" s="4"/>
      <c r="I377" s="4"/>
      <c r="J377" s="4"/>
      <c r="K377" s="4"/>
      <c r="L377" s="4"/>
      <c r="M377" s="4"/>
      <c r="N377" s="4"/>
      <c r="O377" s="6"/>
    </row>
    <row r="378" spans="2:15" s="46" customFormat="1">
      <c r="B378" s="3"/>
      <c r="C378" s="3"/>
      <c r="G378" s="4"/>
      <c r="H378" s="4"/>
      <c r="I378" s="4"/>
      <c r="J378" s="4"/>
      <c r="K378" s="4"/>
      <c r="L378" s="4"/>
      <c r="M378" s="4"/>
      <c r="N378" s="4"/>
      <c r="O378" s="6"/>
    </row>
    <row r="379" spans="2:15" s="46" customFormat="1">
      <c r="B379" s="3"/>
      <c r="C379" s="3"/>
      <c r="G379" s="4"/>
      <c r="H379" s="4"/>
      <c r="I379" s="4"/>
      <c r="J379" s="4"/>
      <c r="K379" s="4"/>
      <c r="L379" s="4"/>
      <c r="M379" s="4"/>
      <c r="N379" s="4"/>
      <c r="O379" s="6"/>
    </row>
    <row r="380" spans="2:15" s="46" customFormat="1">
      <c r="B380" s="3"/>
      <c r="C380" s="3"/>
      <c r="G380" s="4"/>
      <c r="H380" s="4"/>
      <c r="I380" s="4"/>
      <c r="J380" s="4"/>
      <c r="K380" s="4"/>
      <c r="L380" s="4"/>
      <c r="M380" s="4"/>
      <c r="N380" s="4"/>
      <c r="O380" s="6"/>
    </row>
    <row r="381" spans="2:15" s="46" customFormat="1">
      <c r="B381" s="3"/>
      <c r="C381" s="3"/>
      <c r="G381" s="4"/>
      <c r="H381" s="4"/>
      <c r="I381" s="4"/>
      <c r="J381" s="4"/>
      <c r="K381" s="4"/>
      <c r="L381" s="4"/>
      <c r="M381" s="4"/>
      <c r="N381" s="4"/>
      <c r="O381" s="6"/>
    </row>
    <row r="382" spans="2:15" s="46" customFormat="1">
      <c r="B382" s="3"/>
      <c r="C382" s="3"/>
      <c r="G382" s="4"/>
      <c r="H382" s="4"/>
      <c r="I382" s="4"/>
      <c r="J382" s="4"/>
      <c r="K382" s="4"/>
      <c r="L382" s="4"/>
      <c r="M382" s="4"/>
      <c r="N382" s="4"/>
      <c r="O382" s="6"/>
    </row>
    <row r="383" spans="2:15" s="46" customFormat="1">
      <c r="B383" s="3"/>
      <c r="C383" s="3"/>
      <c r="G383" s="4"/>
      <c r="H383" s="4"/>
      <c r="I383" s="4"/>
      <c r="J383" s="4"/>
      <c r="K383" s="4"/>
      <c r="L383" s="4"/>
      <c r="M383" s="4"/>
      <c r="N383" s="4"/>
      <c r="O383" s="6"/>
    </row>
    <row r="384" spans="2:15" s="46" customFormat="1">
      <c r="B384" s="3"/>
      <c r="C384" s="3"/>
      <c r="G384" s="4"/>
      <c r="H384" s="4"/>
      <c r="I384" s="4"/>
      <c r="J384" s="4"/>
      <c r="K384" s="4"/>
      <c r="L384" s="4"/>
      <c r="M384" s="4"/>
      <c r="N384" s="4"/>
      <c r="O384" s="6"/>
    </row>
    <row r="385" spans="2:15" s="46" customFormat="1">
      <c r="B385" s="3"/>
      <c r="C385" s="3"/>
      <c r="G385" s="4"/>
      <c r="H385" s="4"/>
      <c r="I385" s="4"/>
      <c r="J385" s="4"/>
      <c r="K385" s="4"/>
      <c r="L385" s="4"/>
      <c r="M385" s="4"/>
      <c r="N385" s="4"/>
      <c r="O385" s="6"/>
    </row>
    <row r="386" spans="2:15" s="46" customFormat="1">
      <c r="B386" s="3"/>
      <c r="C386" s="3"/>
      <c r="G386" s="4"/>
      <c r="H386" s="4"/>
      <c r="I386" s="4"/>
      <c r="J386" s="4"/>
      <c r="K386" s="4"/>
      <c r="L386" s="4"/>
      <c r="M386" s="4"/>
      <c r="N386" s="4"/>
      <c r="O386" s="6"/>
    </row>
    <row r="387" spans="2:15" s="46" customFormat="1">
      <c r="B387" s="3"/>
      <c r="C387" s="3"/>
      <c r="G387" s="4"/>
      <c r="H387" s="4"/>
      <c r="I387" s="4"/>
      <c r="J387" s="4"/>
      <c r="K387" s="4"/>
      <c r="L387" s="4"/>
      <c r="M387" s="4"/>
      <c r="N387" s="4"/>
      <c r="O387" s="6"/>
    </row>
    <row r="388" spans="2:15" s="46" customFormat="1">
      <c r="B388" s="3"/>
      <c r="C388" s="3"/>
      <c r="G388" s="4"/>
      <c r="H388" s="4"/>
      <c r="I388" s="4"/>
      <c r="J388" s="4"/>
      <c r="K388" s="4"/>
      <c r="L388" s="4"/>
      <c r="M388" s="4"/>
      <c r="N388" s="4"/>
      <c r="O388" s="6"/>
    </row>
    <row r="389" spans="2:15" s="46" customFormat="1">
      <c r="B389" s="3"/>
      <c r="C389" s="3"/>
      <c r="G389" s="4"/>
      <c r="H389" s="4"/>
      <c r="I389" s="4"/>
      <c r="J389" s="4"/>
      <c r="K389" s="4"/>
      <c r="L389" s="4"/>
      <c r="M389" s="4"/>
      <c r="N389" s="4"/>
      <c r="O389" s="6"/>
    </row>
    <row r="390" spans="2:15" s="46" customFormat="1">
      <c r="B390" s="3"/>
      <c r="C390" s="3"/>
      <c r="G390" s="4"/>
      <c r="H390" s="4"/>
      <c r="I390" s="4"/>
      <c r="J390" s="4"/>
      <c r="K390" s="4"/>
      <c r="L390" s="4"/>
      <c r="M390" s="4"/>
      <c r="N390" s="4"/>
      <c r="O390" s="6"/>
    </row>
    <row r="391" spans="2:15" s="46" customFormat="1">
      <c r="B391" s="3"/>
      <c r="C391" s="3"/>
      <c r="G391" s="4"/>
      <c r="H391" s="4"/>
      <c r="I391" s="4"/>
      <c r="J391" s="4"/>
      <c r="K391" s="4"/>
      <c r="L391" s="4"/>
      <c r="M391" s="4"/>
      <c r="N391" s="4"/>
      <c r="O391" s="6"/>
    </row>
    <row r="392" spans="2:15" s="46" customFormat="1">
      <c r="B392" s="3"/>
      <c r="C392" s="3"/>
      <c r="G392" s="4"/>
      <c r="H392" s="4"/>
      <c r="I392" s="4"/>
      <c r="J392" s="4"/>
      <c r="K392" s="4"/>
      <c r="L392" s="4"/>
      <c r="M392" s="4"/>
      <c r="N392" s="4"/>
      <c r="O392" s="6"/>
    </row>
    <row r="393" spans="2:15" s="46" customFormat="1">
      <c r="B393" s="3"/>
      <c r="C393" s="3"/>
      <c r="G393" s="4"/>
      <c r="H393" s="4"/>
      <c r="I393" s="4"/>
      <c r="J393" s="4"/>
      <c r="K393" s="4"/>
      <c r="L393" s="4"/>
      <c r="M393" s="4"/>
      <c r="N393" s="4"/>
      <c r="O393" s="6"/>
    </row>
    <row r="394" spans="2:15" s="46" customFormat="1">
      <c r="B394" s="3"/>
      <c r="C394" s="3"/>
      <c r="G394" s="4"/>
      <c r="H394" s="4"/>
      <c r="I394" s="4"/>
      <c r="J394" s="4"/>
      <c r="K394" s="4"/>
      <c r="L394" s="4"/>
      <c r="M394" s="4"/>
      <c r="N394" s="4"/>
      <c r="O394" s="6"/>
    </row>
    <row r="395" spans="2:15" s="46" customFormat="1">
      <c r="B395" s="3"/>
      <c r="C395" s="3"/>
      <c r="G395" s="4"/>
      <c r="H395" s="4"/>
      <c r="I395" s="4"/>
      <c r="J395" s="4"/>
      <c r="K395" s="4"/>
      <c r="L395" s="4"/>
      <c r="M395" s="4"/>
      <c r="N395" s="4"/>
      <c r="O395" s="6"/>
    </row>
    <row r="396" spans="2:15" s="46" customFormat="1">
      <c r="B396" s="3"/>
      <c r="C396" s="3"/>
      <c r="G396" s="4"/>
      <c r="H396" s="4"/>
      <c r="I396" s="4"/>
      <c r="J396" s="4"/>
      <c r="K396" s="4"/>
      <c r="L396" s="4"/>
      <c r="M396" s="4"/>
      <c r="N396" s="4"/>
      <c r="O396" s="6"/>
    </row>
    <row r="397" spans="2:15" s="46" customFormat="1">
      <c r="B397" s="3"/>
      <c r="C397" s="3"/>
      <c r="G397" s="4"/>
      <c r="H397" s="4"/>
      <c r="I397" s="4"/>
      <c r="J397" s="4"/>
      <c r="K397" s="4"/>
      <c r="L397" s="4"/>
      <c r="M397" s="4"/>
      <c r="N397" s="4"/>
      <c r="O397" s="6"/>
    </row>
    <row r="398" spans="2:15" s="46" customFormat="1">
      <c r="B398" s="3"/>
      <c r="C398" s="3"/>
      <c r="G398" s="4"/>
      <c r="H398" s="4"/>
      <c r="I398" s="4"/>
      <c r="J398" s="4"/>
      <c r="K398" s="4"/>
      <c r="L398" s="4"/>
      <c r="M398" s="4"/>
      <c r="N398" s="4"/>
      <c r="O398" s="6"/>
    </row>
    <row r="399" spans="2:15" s="46" customFormat="1">
      <c r="B399" s="3"/>
      <c r="C399" s="3"/>
      <c r="G399" s="4"/>
      <c r="H399" s="4"/>
      <c r="I399" s="4"/>
      <c r="J399" s="4"/>
      <c r="K399" s="4"/>
      <c r="L399" s="4"/>
      <c r="M399" s="4"/>
      <c r="N399" s="4"/>
      <c r="O399" s="6"/>
    </row>
    <row r="400" spans="2:15" s="46" customFormat="1">
      <c r="B400" s="3"/>
      <c r="C400" s="3"/>
      <c r="G400" s="4"/>
      <c r="H400" s="4"/>
      <c r="I400" s="4"/>
      <c r="J400" s="4"/>
      <c r="K400" s="4"/>
      <c r="L400" s="4"/>
      <c r="M400" s="4"/>
      <c r="N400" s="4"/>
      <c r="O400" s="6"/>
    </row>
    <row r="401" spans="2:15" s="46" customFormat="1">
      <c r="B401" s="3"/>
      <c r="C401" s="3"/>
      <c r="G401" s="4"/>
      <c r="H401" s="4"/>
      <c r="I401" s="4"/>
      <c r="J401" s="4"/>
      <c r="K401" s="4"/>
      <c r="L401" s="4"/>
      <c r="M401" s="4"/>
      <c r="N401" s="4"/>
      <c r="O401" s="6"/>
    </row>
    <row r="402" spans="2:15" s="46" customFormat="1">
      <c r="B402" s="3"/>
      <c r="C402" s="3"/>
      <c r="G402" s="4"/>
      <c r="H402" s="4"/>
      <c r="I402" s="4"/>
      <c r="J402" s="4"/>
      <c r="K402" s="4"/>
      <c r="L402" s="4"/>
      <c r="M402" s="4"/>
      <c r="N402" s="4"/>
      <c r="O402" s="6"/>
    </row>
    <row r="403" spans="2:15" s="46" customFormat="1">
      <c r="B403" s="3"/>
      <c r="C403" s="3"/>
      <c r="G403" s="4"/>
      <c r="H403" s="4"/>
      <c r="I403" s="4"/>
      <c r="J403" s="4"/>
      <c r="K403" s="4"/>
      <c r="L403" s="4"/>
      <c r="M403" s="4"/>
      <c r="N403" s="4"/>
      <c r="O403" s="6"/>
    </row>
    <row r="404" spans="2:15" s="46" customFormat="1">
      <c r="B404" s="3"/>
      <c r="C404" s="3"/>
      <c r="G404" s="4"/>
      <c r="H404" s="4"/>
      <c r="I404" s="4"/>
      <c r="J404" s="4"/>
      <c r="K404" s="4"/>
      <c r="L404" s="4"/>
      <c r="M404" s="4"/>
      <c r="N404" s="4"/>
      <c r="O404" s="6"/>
    </row>
    <row r="405" spans="2:15" s="46" customFormat="1">
      <c r="B405" s="3"/>
      <c r="C405" s="3"/>
      <c r="G405" s="4"/>
      <c r="H405" s="4"/>
      <c r="I405" s="4"/>
      <c r="J405" s="4"/>
      <c r="K405" s="4"/>
      <c r="L405" s="4"/>
      <c r="M405" s="4"/>
      <c r="N405" s="4"/>
      <c r="O405" s="6"/>
    </row>
    <row r="406" spans="2:15" s="46" customFormat="1">
      <c r="B406" s="3"/>
      <c r="C406" s="3"/>
      <c r="G406" s="4"/>
      <c r="H406" s="4"/>
      <c r="I406" s="4"/>
      <c r="J406" s="4"/>
      <c r="K406" s="4"/>
      <c r="L406" s="4"/>
      <c r="M406" s="4"/>
      <c r="N406" s="4"/>
      <c r="O406" s="6"/>
    </row>
    <row r="407" spans="2:15" s="46" customFormat="1">
      <c r="B407" s="3"/>
      <c r="C407" s="3"/>
      <c r="G407" s="4"/>
      <c r="H407" s="4"/>
      <c r="I407" s="4"/>
      <c r="J407" s="4"/>
      <c r="K407" s="4"/>
      <c r="L407" s="4"/>
      <c r="M407" s="4"/>
      <c r="N407" s="4"/>
      <c r="O407" s="6"/>
    </row>
    <row r="408" spans="2:15" s="46" customFormat="1">
      <c r="B408" s="3"/>
      <c r="C408" s="3"/>
      <c r="G408" s="4"/>
      <c r="H408" s="4"/>
      <c r="I408" s="4"/>
      <c r="J408" s="4"/>
      <c r="K408" s="4"/>
      <c r="L408" s="4"/>
      <c r="M408" s="4"/>
      <c r="N408" s="4"/>
      <c r="O408" s="6"/>
    </row>
    <row r="409" spans="2:15" s="46" customFormat="1">
      <c r="B409" s="3"/>
      <c r="C409" s="3"/>
      <c r="G409" s="4"/>
      <c r="H409" s="4"/>
      <c r="I409" s="4"/>
      <c r="J409" s="4"/>
      <c r="K409" s="4"/>
      <c r="L409" s="4"/>
      <c r="M409" s="4"/>
      <c r="N409" s="4"/>
      <c r="O409" s="6"/>
    </row>
    <row r="410" spans="2:15" s="46" customFormat="1">
      <c r="B410" s="3"/>
      <c r="C410" s="3"/>
      <c r="G410" s="4"/>
      <c r="H410" s="4"/>
      <c r="I410" s="4"/>
      <c r="J410" s="4"/>
      <c r="K410" s="4"/>
      <c r="L410" s="4"/>
      <c r="M410" s="4"/>
      <c r="N410" s="4"/>
      <c r="O410" s="6"/>
    </row>
    <row r="411" spans="2:15" s="46" customFormat="1">
      <c r="B411" s="3"/>
      <c r="C411" s="3"/>
      <c r="G411" s="4"/>
      <c r="H411" s="4"/>
      <c r="I411" s="4"/>
      <c r="J411" s="4"/>
      <c r="K411" s="4"/>
      <c r="L411" s="4"/>
      <c r="M411" s="4"/>
      <c r="N411" s="4"/>
      <c r="O411" s="6"/>
    </row>
    <row r="412" spans="2:15" s="46" customFormat="1">
      <c r="B412" s="3"/>
      <c r="C412" s="3"/>
      <c r="G412" s="4"/>
      <c r="H412" s="4"/>
      <c r="I412" s="4"/>
      <c r="J412" s="4"/>
      <c r="K412" s="4"/>
      <c r="L412" s="4"/>
      <c r="M412" s="4"/>
      <c r="N412" s="4"/>
      <c r="O412" s="6"/>
    </row>
    <row r="413" spans="2:15" s="46" customFormat="1">
      <c r="B413" s="3"/>
      <c r="C413" s="3"/>
      <c r="G413" s="4"/>
      <c r="H413" s="4"/>
      <c r="I413" s="4"/>
      <c r="J413" s="4"/>
      <c r="K413" s="4"/>
      <c r="L413" s="4"/>
      <c r="M413" s="4"/>
      <c r="N413" s="4"/>
      <c r="O413" s="6"/>
    </row>
    <row r="414" spans="2:15" s="46" customFormat="1">
      <c r="B414" s="3"/>
      <c r="C414" s="3"/>
      <c r="G414" s="4"/>
      <c r="H414" s="4"/>
      <c r="I414" s="4"/>
      <c r="J414" s="4"/>
      <c r="K414" s="4"/>
      <c r="L414" s="4"/>
      <c r="M414" s="4"/>
      <c r="N414" s="4"/>
      <c r="O414" s="6"/>
    </row>
    <row r="415" spans="2:15" s="46" customFormat="1">
      <c r="B415" s="3"/>
      <c r="C415" s="3"/>
      <c r="G415" s="4"/>
      <c r="H415" s="4"/>
      <c r="I415" s="4"/>
      <c r="J415" s="4"/>
      <c r="K415" s="4"/>
      <c r="L415" s="4"/>
      <c r="M415" s="4"/>
      <c r="N415" s="4"/>
      <c r="O415" s="6"/>
    </row>
    <row r="416" spans="2:15" s="46" customFormat="1">
      <c r="B416" s="3"/>
      <c r="C416" s="3"/>
      <c r="G416" s="4"/>
      <c r="H416" s="4"/>
      <c r="I416" s="4"/>
      <c r="J416" s="4"/>
      <c r="K416" s="4"/>
      <c r="L416" s="4"/>
      <c r="M416" s="4"/>
      <c r="N416" s="4"/>
      <c r="O416" s="6"/>
    </row>
    <row r="417" spans="2:15" s="46" customFormat="1">
      <c r="B417" s="3"/>
      <c r="C417" s="3"/>
      <c r="G417" s="4"/>
      <c r="H417" s="4"/>
      <c r="I417" s="4"/>
      <c r="J417" s="4"/>
      <c r="K417" s="4"/>
      <c r="L417" s="4"/>
      <c r="M417" s="4"/>
      <c r="N417" s="4"/>
      <c r="O417" s="6"/>
    </row>
    <row r="418" spans="2:15" s="46" customFormat="1">
      <c r="B418" s="3"/>
      <c r="C418" s="3"/>
      <c r="G418" s="4"/>
      <c r="H418" s="4"/>
      <c r="I418" s="4"/>
      <c r="J418" s="4"/>
      <c r="K418" s="4"/>
      <c r="L418" s="4"/>
      <c r="M418" s="4"/>
      <c r="N418" s="4"/>
      <c r="O418" s="6"/>
    </row>
    <row r="419" spans="2:15" s="46" customFormat="1">
      <c r="B419" s="3"/>
      <c r="C419" s="3"/>
      <c r="G419" s="4"/>
      <c r="H419" s="4"/>
      <c r="I419" s="4"/>
      <c r="J419" s="4"/>
      <c r="K419" s="4"/>
      <c r="L419" s="4"/>
      <c r="M419" s="4"/>
      <c r="N419" s="4"/>
      <c r="O419" s="6"/>
    </row>
    <row r="420" spans="2:15" s="46" customFormat="1">
      <c r="B420" s="3"/>
      <c r="C420" s="3"/>
      <c r="G420" s="4"/>
      <c r="H420" s="4"/>
      <c r="I420" s="4"/>
      <c r="J420" s="4"/>
      <c r="K420" s="4"/>
      <c r="L420" s="4"/>
      <c r="M420" s="4"/>
      <c r="N420" s="4"/>
      <c r="O420" s="6"/>
    </row>
    <row r="421" spans="2:15" s="46" customFormat="1">
      <c r="B421" s="3"/>
      <c r="C421" s="3"/>
      <c r="G421" s="4"/>
      <c r="H421" s="4"/>
      <c r="I421" s="4"/>
      <c r="J421" s="4"/>
      <c r="K421" s="4"/>
      <c r="L421" s="4"/>
      <c r="M421" s="4"/>
      <c r="N421" s="4"/>
      <c r="O421" s="6"/>
    </row>
    <row r="422" spans="2:15" s="46" customFormat="1">
      <c r="B422" s="3"/>
      <c r="C422" s="3"/>
      <c r="G422" s="4"/>
      <c r="H422" s="4"/>
      <c r="I422" s="4"/>
      <c r="J422" s="4"/>
      <c r="K422" s="4"/>
      <c r="L422" s="4"/>
      <c r="M422" s="4"/>
      <c r="N422" s="4"/>
      <c r="O422" s="6"/>
    </row>
    <row r="423" spans="2:15" s="46" customFormat="1">
      <c r="B423" s="3"/>
      <c r="C423" s="3"/>
      <c r="G423" s="4"/>
      <c r="H423" s="4"/>
      <c r="I423" s="4"/>
      <c r="J423" s="4"/>
      <c r="K423" s="4"/>
      <c r="L423" s="4"/>
      <c r="M423" s="4"/>
      <c r="N423" s="4"/>
      <c r="O423" s="6"/>
    </row>
    <row r="424" spans="2:15" s="46" customFormat="1">
      <c r="B424" s="3"/>
      <c r="C424" s="3"/>
      <c r="G424" s="4"/>
      <c r="H424" s="4"/>
      <c r="I424" s="4"/>
      <c r="J424" s="4"/>
      <c r="K424" s="4"/>
      <c r="L424" s="4"/>
      <c r="M424" s="4"/>
      <c r="N424" s="4"/>
      <c r="O424" s="6"/>
    </row>
    <row r="425" spans="2:15" s="46" customFormat="1">
      <c r="B425" s="3"/>
      <c r="C425" s="3"/>
      <c r="G425" s="4"/>
      <c r="H425" s="4"/>
      <c r="I425" s="4"/>
      <c r="J425" s="4"/>
      <c r="K425" s="4"/>
      <c r="L425" s="4"/>
      <c r="M425" s="4"/>
      <c r="N425" s="4"/>
      <c r="O425" s="6"/>
    </row>
    <row r="426" spans="2:15" s="46" customFormat="1">
      <c r="B426" s="3"/>
      <c r="C426" s="3"/>
      <c r="G426" s="4"/>
      <c r="H426" s="4"/>
      <c r="I426" s="4"/>
      <c r="J426" s="4"/>
      <c r="K426" s="4"/>
      <c r="L426" s="4"/>
      <c r="M426" s="4"/>
      <c r="N426" s="4"/>
      <c r="O426" s="6"/>
    </row>
    <row r="427" spans="2:15" s="46" customFormat="1">
      <c r="B427" s="3"/>
      <c r="C427" s="3"/>
      <c r="G427" s="4"/>
      <c r="H427" s="4"/>
      <c r="I427" s="4"/>
      <c r="J427" s="4"/>
      <c r="K427" s="4"/>
      <c r="L427" s="4"/>
      <c r="M427" s="4"/>
      <c r="N427" s="4"/>
      <c r="O427" s="6"/>
    </row>
    <row r="428" spans="2:15" s="46" customFormat="1">
      <c r="B428" s="3"/>
      <c r="C428" s="3"/>
      <c r="G428" s="4"/>
      <c r="H428" s="4"/>
      <c r="I428" s="4"/>
      <c r="J428" s="4"/>
      <c r="K428" s="4"/>
      <c r="L428" s="4"/>
      <c r="M428" s="4"/>
      <c r="N428" s="4"/>
      <c r="O428" s="6"/>
    </row>
    <row r="429" spans="2:15" s="46" customFormat="1">
      <c r="B429" s="3"/>
      <c r="C429" s="3"/>
      <c r="G429" s="4"/>
      <c r="H429" s="4"/>
      <c r="I429" s="4"/>
      <c r="J429" s="4"/>
      <c r="K429" s="4"/>
      <c r="L429" s="4"/>
      <c r="M429" s="4"/>
      <c r="N429" s="4"/>
      <c r="O429" s="6"/>
    </row>
    <row r="430" spans="2:15" s="46" customFormat="1">
      <c r="B430" s="3"/>
      <c r="C430" s="3"/>
      <c r="G430" s="4"/>
      <c r="H430" s="4"/>
      <c r="I430" s="4"/>
      <c r="J430" s="4"/>
      <c r="K430" s="4"/>
      <c r="L430" s="4"/>
      <c r="M430" s="4"/>
      <c r="N430" s="4"/>
      <c r="O430" s="6"/>
    </row>
    <row r="431" spans="2:15" s="46" customFormat="1">
      <c r="B431" s="3"/>
      <c r="C431" s="3"/>
      <c r="G431" s="4"/>
      <c r="H431" s="4"/>
      <c r="I431" s="4"/>
      <c r="J431" s="4"/>
      <c r="K431" s="4"/>
      <c r="L431" s="4"/>
      <c r="M431" s="4"/>
      <c r="N431" s="4"/>
      <c r="O431" s="6"/>
    </row>
    <row r="432" spans="2:15" s="46" customFormat="1">
      <c r="B432" s="3"/>
      <c r="C432" s="3"/>
      <c r="G432" s="4"/>
      <c r="H432" s="4"/>
      <c r="I432" s="4"/>
      <c r="J432" s="4"/>
      <c r="K432" s="4"/>
      <c r="L432" s="4"/>
      <c r="M432" s="4"/>
      <c r="N432" s="4"/>
      <c r="O432" s="6"/>
    </row>
    <row r="433" spans="2:15" s="46" customFormat="1">
      <c r="B433" s="3"/>
      <c r="C433" s="3"/>
      <c r="G433" s="4"/>
      <c r="H433" s="4"/>
      <c r="I433" s="4"/>
      <c r="J433" s="4"/>
      <c r="K433" s="4"/>
      <c r="L433" s="4"/>
      <c r="M433" s="4"/>
      <c r="N433" s="4"/>
      <c r="O433" s="6"/>
    </row>
    <row r="434" spans="2:15" s="46" customFormat="1">
      <c r="B434" s="3"/>
      <c r="C434" s="3"/>
      <c r="G434" s="4"/>
      <c r="H434" s="4"/>
      <c r="I434" s="4"/>
      <c r="J434" s="4"/>
      <c r="K434" s="4"/>
      <c r="L434" s="4"/>
      <c r="M434" s="4"/>
      <c r="N434" s="4"/>
      <c r="O434" s="6"/>
    </row>
    <row r="435" spans="2:15" s="46" customFormat="1">
      <c r="B435" s="3"/>
      <c r="C435" s="3"/>
      <c r="G435" s="4"/>
      <c r="H435" s="4"/>
      <c r="I435" s="4"/>
      <c r="J435" s="4"/>
      <c r="K435" s="4"/>
      <c r="L435" s="4"/>
      <c r="M435" s="4"/>
      <c r="N435" s="4"/>
      <c r="O435" s="6"/>
    </row>
    <row r="436" spans="2:15" s="46" customFormat="1">
      <c r="B436" s="3"/>
      <c r="C436" s="3"/>
      <c r="G436" s="4"/>
      <c r="H436" s="4"/>
      <c r="I436" s="4"/>
      <c r="J436" s="4"/>
      <c r="K436" s="4"/>
      <c r="L436" s="4"/>
      <c r="M436" s="4"/>
      <c r="N436" s="4"/>
      <c r="O436" s="6"/>
    </row>
    <row r="437" spans="2:15" s="46" customFormat="1">
      <c r="B437" s="3"/>
      <c r="C437" s="3"/>
      <c r="G437" s="4"/>
      <c r="H437" s="4"/>
      <c r="I437" s="4"/>
      <c r="J437" s="4"/>
      <c r="K437" s="4"/>
      <c r="L437" s="4"/>
      <c r="M437" s="4"/>
      <c r="N437" s="4"/>
      <c r="O437" s="6"/>
    </row>
    <row r="438" spans="2:15" s="46" customFormat="1">
      <c r="B438" s="3"/>
      <c r="C438" s="3"/>
      <c r="G438" s="4"/>
      <c r="H438" s="4"/>
      <c r="I438" s="4"/>
      <c r="J438" s="4"/>
      <c r="K438" s="4"/>
      <c r="L438" s="4"/>
      <c r="M438" s="4"/>
      <c r="N438" s="4"/>
      <c r="O438" s="6"/>
    </row>
    <row r="439" spans="2:15" s="46" customFormat="1">
      <c r="B439" s="3"/>
      <c r="C439" s="3"/>
      <c r="G439" s="4"/>
      <c r="H439" s="4"/>
      <c r="I439" s="4"/>
      <c r="J439" s="4"/>
      <c r="K439" s="4"/>
      <c r="L439" s="4"/>
      <c r="M439" s="4"/>
      <c r="N439" s="4"/>
      <c r="O439" s="6"/>
    </row>
    <row r="440" spans="2:15" s="46" customFormat="1">
      <c r="B440" s="3"/>
      <c r="C440" s="3"/>
      <c r="G440" s="4"/>
      <c r="H440" s="4"/>
      <c r="I440" s="4"/>
      <c r="J440" s="4"/>
      <c r="K440" s="4"/>
      <c r="L440" s="4"/>
      <c r="M440" s="4"/>
      <c r="N440" s="4"/>
      <c r="O440" s="6"/>
    </row>
    <row r="441" spans="2:15" s="46" customFormat="1">
      <c r="B441" s="3"/>
      <c r="C441" s="3"/>
      <c r="G441" s="4"/>
      <c r="H441" s="4"/>
      <c r="I441" s="4"/>
      <c r="J441" s="4"/>
      <c r="K441" s="4"/>
      <c r="L441" s="4"/>
      <c r="M441" s="4"/>
      <c r="N441" s="4"/>
      <c r="O441" s="6"/>
    </row>
    <row r="442" spans="2:15" s="46" customFormat="1">
      <c r="B442" s="3"/>
      <c r="C442" s="3"/>
      <c r="G442" s="4"/>
      <c r="H442" s="4"/>
      <c r="I442" s="4"/>
      <c r="J442" s="4"/>
      <c r="K442" s="4"/>
      <c r="L442" s="4"/>
      <c r="M442" s="4"/>
      <c r="N442" s="4"/>
      <c r="O442" s="6"/>
    </row>
    <row r="443" spans="2:15" s="46" customFormat="1">
      <c r="B443" s="3"/>
      <c r="C443" s="3"/>
      <c r="G443" s="4"/>
      <c r="H443" s="4"/>
      <c r="I443" s="4"/>
      <c r="J443" s="4"/>
      <c r="K443" s="4"/>
      <c r="L443" s="4"/>
      <c r="M443" s="4"/>
      <c r="N443" s="4"/>
      <c r="O443" s="6"/>
    </row>
    <row r="444" spans="2:15" s="46" customFormat="1">
      <c r="B444" s="3"/>
      <c r="C444" s="3"/>
      <c r="G444" s="4"/>
      <c r="H444" s="4"/>
      <c r="I444" s="4"/>
      <c r="J444" s="4"/>
      <c r="K444" s="4"/>
      <c r="L444" s="4"/>
      <c r="M444" s="4"/>
      <c r="N444" s="4"/>
      <c r="O444" s="6"/>
    </row>
    <row r="445" spans="2:15" s="46" customFormat="1">
      <c r="B445" s="3"/>
      <c r="C445" s="3"/>
      <c r="G445" s="4"/>
      <c r="H445" s="4"/>
      <c r="I445" s="4"/>
      <c r="J445" s="4"/>
      <c r="K445" s="4"/>
      <c r="L445" s="4"/>
      <c r="M445" s="4"/>
      <c r="N445" s="4"/>
      <c r="O445" s="6"/>
    </row>
    <row r="446" spans="2:15" s="46" customFormat="1">
      <c r="B446" s="3"/>
      <c r="C446" s="3"/>
      <c r="G446" s="4"/>
      <c r="H446" s="4"/>
      <c r="I446" s="4"/>
      <c r="J446" s="4"/>
      <c r="K446" s="4"/>
      <c r="L446" s="4"/>
      <c r="M446" s="4"/>
      <c r="N446" s="4"/>
      <c r="O446" s="6"/>
    </row>
    <row r="447" spans="2:15" s="46" customFormat="1">
      <c r="B447" s="3"/>
      <c r="C447" s="3"/>
      <c r="G447" s="4"/>
      <c r="H447" s="4"/>
      <c r="I447" s="4"/>
      <c r="J447" s="4"/>
      <c r="K447" s="4"/>
      <c r="L447" s="4"/>
      <c r="M447" s="4"/>
      <c r="N447" s="4"/>
      <c r="O447" s="6"/>
    </row>
    <row r="448" spans="2:15" s="46" customFormat="1">
      <c r="B448" s="3"/>
      <c r="C448" s="3"/>
      <c r="G448" s="4"/>
      <c r="H448" s="4"/>
      <c r="I448" s="4"/>
      <c r="J448" s="4"/>
      <c r="K448" s="4"/>
      <c r="L448" s="4"/>
      <c r="M448" s="4"/>
      <c r="N448" s="4"/>
      <c r="O448" s="6"/>
    </row>
    <row r="449" spans="2:15" s="46" customFormat="1">
      <c r="B449" s="3"/>
      <c r="C449" s="3"/>
      <c r="G449" s="4"/>
      <c r="H449" s="4"/>
      <c r="I449" s="4"/>
      <c r="J449" s="4"/>
      <c r="K449" s="4"/>
      <c r="L449" s="4"/>
      <c r="M449" s="4"/>
      <c r="N449" s="4"/>
      <c r="O449" s="6"/>
    </row>
    <row r="450" spans="2:15" s="46" customFormat="1">
      <c r="B450" s="3"/>
      <c r="C450" s="3"/>
      <c r="G450" s="4"/>
      <c r="H450" s="4"/>
      <c r="I450" s="4"/>
      <c r="J450" s="4"/>
      <c r="K450" s="4"/>
      <c r="L450" s="4"/>
      <c r="M450" s="4"/>
      <c r="N450" s="4"/>
      <c r="O450" s="6"/>
    </row>
    <row r="451" spans="2:15" s="46" customFormat="1">
      <c r="B451" s="3"/>
      <c r="C451" s="3"/>
      <c r="G451" s="4"/>
      <c r="H451" s="4"/>
      <c r="I451" s="4"/>
      <c r="J451" s="4"/>
      <c r="K451" s="4"/>
      <c r="L451" s="4"/>
      <c r="M451" s="4"/>
      <c r="N451" s="4"/>
      <c r="O451" s="6"/>
    </row>
    <row r="452" spans="2:15" s="46" customFormat="1">
      <c r="B452" s="3"/>
      <c r="C452" s="3"/>
      <c r="G452" s="4"/>
      <c r="H452" s="4"/>
      <c r="I452" s="4"/>
      <c r="J452" s="4"/>
      <c r="K452" s="4"/>
      <c r="L452" s="4"/>
      <c r="M452" s="4"/>
      <c r="N452" s="4"/>
      <c r="O452" s="6"/>
    </row>
    <row r="453" spans="2:15" s="46" customFormat="1">
      <c r="B453" s="3"/>
      <c r="C453" s="3"/>
      <c r="G453" s="4"/>
      <c r="H453" s="4"/>
      <c r="I453" s="4"/>
      <c r="J453" s="4"/>
      <c r="K453" s="4"/>
      <c r="L453" s="4"/>
      <c r="M453" s="4"/>
      <c r="N453" s="4"/>
      <c r="O453" s="6"/>
    </row>
    <row r="454" spans="2:15" s="46" customFormat="1">
      <c r="B454" s="3"/>
      <c r="C454" s="3"/>
      <c r="G454" s="4"/>
      <c r="H454" s="4"/>
      <c r="I454" s="4"/>
      <c r="J454" s="4"/>
      <c r="K454" s="4"/>
      <c r="L454" s="4"/>
      <c r="M454" s="4"/>
      <c r="N454" s="4"/>
      <c r="O454" s="6"/>
    </row>
    <row r="455" spans="2:15" s="46" customFormat="1">
      <c r="B455" s="3"/>
      <c r="C455" s="3"/>
      <c r="G455" s="4"/>
      <c r="H455" s="4"/>
      <c r="I455" s="4"/>
      <c r="J455" s="4"/>
      <c r="K455" s="4"/>
      <c r="L455" s="4"/>
      <c r="M455" s="4"/>
      <c r="N455" s="4"/>
      <c r="O455" s="6"/>
    </row>
    <row r="456" spans="2:15" s="46" customFormat="1">
      <c r="B456" s="3"/>
      <c r="C456" s="3"/>
      <c r="G456" s="4"/>
      <c r="H456" s="4"/>
      <c r="I456" s="4"/>
      <c r="J456" s="4"/>
      <c r="K456" s="4"/>
      <c r="L456" s="4"/>
      <c r="M456" s="4"/>
      <c r="N456" s="4"/>
      <c r="O456" s="6"/>
    </row>
    <row r="457" spans="2:15" s="46" customFormat="1">
      <c r="B457" s="3"/>
      <c r="C457" s="3"/>
      <c r="G457" s="4"/>
      <c r="H457" s="4"/>
      <c r="I457" s="4"/>
      <c r="J457" s="4"/>
      <c r="K457" s="4"/>
      <c r="L457" s="4"/>
      <c r="M457" s="4"/>
      <c r="N457" s="4"/>
      <c r="O457" s="6"/>
    </row>
    <row r="458" spans="2:15" s="46" customFormat="1">
      <c r="B458" s="3"/>
      <c r="C458" s="3"/>
      <c r="G458" s="4"/>
      <c r="H458" s="4"/>
      <c r="I458" s="4"/>
      <c r="J458" s="4"/>
      <c r="K458" s="4"/>
      <c r="L458" s="4"/>
      <c r="M458" s="4"/>
      <c r="N458" s="4"/>
      <c r="O458" s="6"/>
    </row>
    <row r="459" spans="2:15" s="46" customFormat="1">
      <c r="B459" s="3"/>
      <c r="C459" s="3"/>
      <c r="G459" s="4"/>
      <c r="H459" s="4"/>
      <c r="I459" s="4"/>
      <c r="J459" s="4"/>
      <c r="K459" s="4"/>
      <c r="L459" s="4"/>
      <c r="M459" s="4"/>
      <c r="N459" s="4"/>
      <c r="O459" s="6"/>
    </row>
    <row r="460" spans="2:15" s="46" customFormat="1">
      <c r="B460" s="3"/>
      <c r="C460" s="3"/>
      <c r="G460" s="4"/>
      <c r="H460" s="4"/>
      <c r="I460" s="4"/>
      <c r="J460" s="4"/>
      <c r="K460" s="4"/>
      <c r="L460" s="4"/>
      <c r="M460" s="4"/>
      <c r="N460" s="4"/>
      <c r="O460" s="6"/>
    </row>
    <row r="461" spans="2:15" s="46" customFormat="1">
      <c r="B461" s="3"/>
      <c r="C461" s="3"/>
      <c r="G461" s="4"/>
      <c r="H461" s="4"/>
      <c r="I461" s="4"/>
      <c r="J461" s="4"/>
      <c r="K461" s="4"/>
      <c r="L461" s="4"/>
      <c r="M461" s="4"/>
      <c r="N461" s="4"/>
      <c r="O461" s="6"/>
    </row>
    <row r="462" spans="2:15" s="46" customFormat="1">
      <c r="B462" s="3"/>
      <c r="C462" s="3"/>
      <c r="G462" s="4"/>
      <c r="H462" s="4"/>
      <c r="I462" s="4"/>
      <c r="J462" s="4"/>
      <c r="K462" s="4"/>
      <c r="L462" s="4"/>
      <c r="M462" s="4"/>
      <c r="N462" s="4"/>
      <c r="O462" s="6"/>
    </row>
    <row r="463" spans="2:15" s="46" customFormat="1">
      <c r="B463" s="3"/>
      <c r="C463" s="3"/>
      <c r="G463" s="4"/>
      <c r="H463" s="4"/>
      <c r="I463" s="4"/>
      <c r="J463" s="4"/>
      <c r="K463" s="4"/>
      <c r="L463" s="4"/>
      <c r="M463" s="4"/>
      <c r="N463" s="4"/>
      <c r="O463" s="6"/>
    </row>
    <row r="464" spans="2:15" s="46" customFormat="1">
      <c r="B464" s="3"/>
      <c r="C464" s="3"/>
      <c r="G464" s="4"/>
      <c r="H464" s="4"/>
      <c r="I464" s="4"/>
      <c r="J464" s="4"/>
      <c r="K464" s="4"/>
      <c r="L464" s="4"/>
      <c r="M464" s="4"/>
      <c r="N464" s="4"/>
      <c r="O464" s="6"/>
    </row>
    <row r="465" spans="2:15" s="46" customFormat="1">
      <c r="B465" s="3"/>
      <c r="C465" s="3"/>
      <c r="G465" s="4"/>
      <c r="H465" s="4"/>
      <c r="I465" s="4"/>
      <c r="J465" s="4"/>
      <c r="K465" s="4"/>
      <c r="L465" s="4"/>
      <c r="M465" s="4"/>
      <c r="N465" s="4"/>
      <c r="O465" s="6"/>
    </row>
    <row r="466" spans="2:15" s="46" customFormat="1">
      <c r="B466" s="3"/>
      <c r="C466" s="3"/>
      <c r="G466" s="4"/>
      <c r="H466" s="4"/>
      <c r="I466" s="4"/>
      <c r="J466" s="4"/>
      <c r="K466" s="4"/>
      <c r="L466" s="4"/>
      <c r="M466" s="4"/>
      <c r="N466" s="4"/>
      <c r="O466" s="6"/>
    </row>
    <row r="467" spans="2:15" s="46" customFormat="1">
      <c r="B467" s="3"/>
      <c r="C467" s="3"/>
      <c r="G467" s="4"/>
      <c r="H467" s="4"/>
      <c r="I467" s="4"/>
      <c r="J467" s="4"/>
      <c r="K467" s="4"/>
      <c r="L467" s="4"/>
      <c r="M467" s="4"/>
      <c r="N467" s="4"/>
      <c r="O467" s="6"/>
    </row>
    <row r="468" spans="2:15" s="46" customFormat="1">
      <c r="B468" s="3"/>
      <c r="C468" s="3"/>
      <c r="G468" s="4"/>
      <c r="H468" s="4"/>
      <c r="I468" s="4"/>
      <c r="J468" s="4"/>
      <c r="K468" s="4"/>
      <c r="L468" s="4"/>
      <c r="M468" s="4"/>
      <c r="N468" s="4"/>
      <c r="O468" s="6"/>
    </row>
    <row r="469" spans="2:15" s="46" customFormat="1">
      <c r="B469" s="3"/>
      <c r="C469" s="3"/>
      <c r="G469" s="4"/>
      <c r="H469" s="4"/>
      <c r="I469" s="4"/>
      <c r="J469" s="4"/>
      <c r="K469" s="4"/>
      <c r="L469" s="4"/>
      <c r="M469" s="4"/>
      <c r="N469" s="4"/>
      <c r="O469" s="6"/>
    </row>
    <row r="470" spans="2:15" s="46" customFormat="1">
      <c r="B470" s="3"/>
      <c r="C470" s="3"/>
      <c r="G470" s="4"/>
      <c r="H470" s="4"/>
      <c r="I470" s="4"/>
      <c r="J470" s="4"/>
      <c r="K470" s="4"/>
      <c r="L470" s="4"/>
      <c r="M470" s="4"/>
      <c r="N470" s="4"/>
      <c r="O470" s="6"/>
    </row>
    <row r="471" spans="2:15" s="46" customFormat="1">
      <c r="B471" s="3"/>
      <c r="C471" s="3"/>
      <c r="G471" s="4"/>
      <c r="H471" s="4"/>
      <c r="I471" s="4"/>
      <c r="J471" s="4"/>
      <c r="K471" s="4"/>
      <c r="L471" s="4"/>
      <c r="M471" s="4"/>
      <c r="N471" s="4"/>
      <c r="O471" s="6"/>
    </row>
    <row r="472" spans="2:15" s="46" customFormat="1">
      <c r="B472" s="3"/>
      <c r="C472" s="3"/>
      <c r="G472" s="4"/>
      <c r="H472" s="4"/>
      <c r="I472" s="4"/>
      <c r="J472" s="4"/>
      <c r="K472" s="4"/>
      <c r="L472" s="4"/>
      <c r="M472" s="4"/>
      <c r="N472" s="4"/>
      <c r="O472" s="6"/>
    </row>
    <row r="473" spans="2:15" s="46" customFormat="1">
      <c r="B473" s="3"/>
      <c r="C473" s="3"/>
      <c r="G473" s="4"/>
      <c r="H473" s="4"/>
      <c r="I473" s="4"/>
      <c r="J473" s="4"/>
      <c r="K473" s="4"/>
      <c r="L473" s="4"/>
      <c r="M473" s="4"/>
      <c r="N473" s="4"/>
      <c r="O473" s="6"/>
    </row>
    <row r="474" spans="2:15" s="46" customFormat="1">
      <c r="B474" s="3"/>
      <c r="C474" s="3"/>
      <c r="G474" s="4"/>
      <c r="H474" s="4"/>
      <c r="I474" s="4"/>
      <c r="J474" s="4"/>
      <c r="K474" s="4"/>
      <c r="L474" s="4"/>
      <c r="M474" s="4"/>
      <c r="N474" s="4"/>
      <c r="O474" s="6"/>
    </row>
    <row r="475" spans="2:15" s="46" customFormat="1">
      <c r="B475" s="3"/>
      <c r="C475" s="3"/>
      <c r="G475" s="4"/>
      <c r="H475" s="4"/>
      <c r="I475" s="4"/>
      <c r="J475" s="4"/>
      <c r="K475" s="4"/>
      <c r="L475" s="4"/>
      <c r="M475" s="4"/>
      <c r="N475" s="4"/>
      <c r="O475" s="6"/>
    </row>
    <row r="476" spans="2:15" s="46" customFormat="1">
      <c r="B476" s="3"/>
      <c r="C476" s="3"/>
      <c r="G476" s="4"/>
      <c r="H476" s="4"/>
      <c r="I476" s="4"/>
      <c r="J476" s="4"/>
      <c r="K476" s="4"/>
      <c r="L476" s="4"/>
      <c r="M476" s="4"/>
      <c r="N476" s="4"/>
      <c r="O476" s="6"/>
    </row>
    <row r="477" spans="2:15" s="46" customFormat="1">
      <c r="B477" s="3"/>
      <c r="C477" s="3"/>
      <c r="G477" s="4"/>
      <c r="H477" s="4"/>
      <c r="I477" s="4"/>
      <c r="J477" s="4"/>
      <c r="K477" s="4"/>
      <c r="L477" s="4"/>
      <c r="M477" s="4"/>
      <c r="N477" s="4"/>
      <c r="O477" s="6"/>
    </row>
    <row r="478" spans="2:15" s="46" customFormat="1">
      <c r="B478" s="3"/>
      <c r="C478" s="3"/>
      <c r="G478" s="4"/>
      <c r="H478" s="4"/>
      <c r="I478" s="4"/>
      <c r="J478" s="4"/>
      <c r="K478" s="4"/>
      <c r="L478" s="4"/>
      <c r="M478" s="4"/>
      <c r="N478" s="4"/>
      <c r="O478" s="6"/>
    </row>
    <row r="479" spans="2:15" s="46" customFormat="1">
      <c r="B479" s="3"/>
      <c r="C479" s="3"/>
      <c r="G479" s="4"/>
      <c r="H479" s="4"/>
      <c r="I479" s="4"/>
      <c r="J479" s="4"/>
      <c r="K479" s="4"/>
      <c r="L479" s="4"/>
      <c r="M479" s="4"/>
      <c r="N479" s="4"/>
      <c r="O479" s="6"/>
    </row>
    <row r="480" spans="2:15" s="46" customFormat="1">
      <c r="B480" s="3"/>
      <c r="C480" s="3"/>
      <c r="G480" s="4"/>
      <c r="H480" s="4"/>
      <c r="I480" s="4"/>
      <c r="J480" s="4"/>
      <c r="K480" s="4"/>
      <c r="L480" s="4"/>
      <c r="M480" s="4"/>
      <c r="N480" s="4"/>
      <c r="O480" s="6"/>
    </row>
    <row r="481" spans="2:15" s="46" customFormat="1">
      <c r="B481" s="3"/>
      <c r="C481" s="3"/>
      <c r="G481" s="4"/>
      <c r="H481" s="4"/>
      <c r="I481" s="4"/>
      <c r="J481" s="4"/>
      <c r="K481" s="4"/>
      <c r="L481" s="4"/>
      <c r="M481" s="4"/>
      <c r="N481" s="4"/>
      <c r="O481" s="6"/>
    </row>
    <row r="482" spans="2:15" s="46" customFormat="1">
      <c r="B482" s="3"/>
      <c r="C482" s="3"/>
      <c r="G482" s="4"/>
      <c r="H482" s="4"/>
      <c r="I482" s="4"/>
      <c r="J482" s="4"/>
      <c r="K482" s="4"/>
      <c r="L482" s="4"/>
      <c r="M482" s="4"/>
      <c r="N482" s="4"/>
      <c r="O482" s="6"/>
    </row>
    <row r="483" spans="2:15" s="46" customFormat="1">
      <c r="B483" s="3"/>
      <c r="C483" s="3"/>
      <c r="G483" s="4"/>
      <c r="H483" s="4"/>
      <c r="I483" s="4"/>
      <c r="J483" s="4"/>
      <c r="K483" s="4"/>
      <c r="L483" s="4"/>
      <c r="M483" s="4"/>
      <c r="N483" s="4"/>
      <c r="O483" s="6"/>
    </row>
    <row r="484" spans="2:15" s="46" customFormat="1">
      <c r="B484" s="3"/>
      <c r="C484" s="3"/>
      <c r="G484" s="4"/>
      <c r="H484" s="4"/>
      <c r="I484" s="4"/>
      <c r="J484" s="4"/>
      <c r="K484" s="4"/>
      <c r="L484" s="4"/>
      <c r="M484" s="4"/>
      <c r="N484" s="4"/>
      <c r="O484" s="6"/>
    </row>
    <row r="485" spans="2:15" s="46" customFormat="1">
      <c r="B485" s="3"/>
      <c r="C485" s="3"/>
      <c r="G485" s="4"/>
      <c r="H485" s="4"/>
      <c r="I485" s="4"/>
      <c r="J485" s="4"/>
      <c r="K485" s="4"/>
      <c r="L485" s="4"/>
      <c r="M485" s="4"/>
      <c r="N485" s="4"/>
      <c r="O485" s="6"/>
    </row>
    <row r="486" spans="2:15" s="46" customFormat="1">
      <c r="B486" s="3"/>
      <c r="C486" s="3"/>
      <c r="G486" s="4"/>
      <c r="H486" s="4"/>
      <c r="I486" s="4"/>
      <c r="J486" s="4"/>
      <c r="K486" s="4"/>
      <c r="L486" s="4"/>
      <c r="M486" s="4"/>
      <c r="N486" s="4"/>
      <c r="O486" s="6"/>
    </row>
    <row r="487" spans="2:15" s="46" customFormat="1">
      <c r="B487" s="3"/>
      <c r="C487" s="3"/>
      <c r="G487" s="4"/>
      <c r="H487" s="4"/>
      <c r="I487" s="4"/>
      <c r="J487" s="4"/>
      <c r="K487" s="4"/>
      <c r="L487" s="4"/>
      <c r="M487" s="4"/>
      <c r="N487" s="4"/>
      <c r="O487" s="6"/>
    </row>
    <row r="488" spans="2:15" s="46" customFormat="1">
      <c r="B488" s="3"/>
      <c r="C488" s="3"/>
      <c r="G488" s="4"/>
      <c r="H488" s="4"/>
      <c r="I488" s="4"/>
      <c r="J488" s="4"/>
      <c r="K488" s="4"/>
      <c r="L488" s="4"/>
      <c r="M488" s="4"/>
      <c r="N488" s="4"/>
      <c r="O488" s="6"/>
    </row>
    <row r="489" spans="2:15" s="46" customFormat="1">
      <c r="B489" s="3"/>
      <c r="C489" s="3"/>
      <c r="G489" s="4"/>
      <c r="H489" s="4"/>
      <c r="I489" s="4"/>
      <c r="J489" s="4"/>
      <c r="K489" s="4"/>
      <c r="L489" s="4"/>
      <c r="M489" s="4"/>
      <c r="N489" s="4"/>
      <c r="O489" s="6"/>
    </row>
    <row r="490" spans="2:15" s="46" customFormat="1">
      <c r="B490" s="3"/>
      <c r="C490" s="3"/>
      <c r="G490" s="4"/>
      <c r="H490" s="4"/>
      <c r="I490" s="4"/>
      <c r="J490" s="4"/>
      <c r="K490" s="4"/>
      <c r="L490" s="4"/>
      <c r="M490" s="4"/>
      <c r="N490" s="4"/>
      <c r="O490" s="6"/>
    </row>
    <row r="491" spans="2:15" s="46" customFormat="1">
      <c r="B491" s="3"/>
      <c r="C491" s="3"/>
      <c r="G491" s="4"/>
      <c r="H491" s="4"/>
      <c r="I491" s="4"/>
      <c r="J491" s="4"/>
      <c r="K491" s="4"/>
      <c r="L491" s="4"/>
      <c r="M491" s="4"/>
      <c r="N491" s="4"/>
      <c r="O491" s="6"/>
    </row>
    <row r="492" spans="2:15" s="46" customFormat="1">
      <c r="B492" s="3"/>
      <c r="C492" s="3"/>
      <c r="G492" s="4"/>
      <c r="H492" s="4"/>
      <c r="I492" s="4"/>
      <c r="J492" s="4"/>
      <c r="K492" s="4"/>
      <c r="L492" s="4"/>
      <c r="M492" s="4"/>
      <c r="N492" s="4"/>
      <c r="O492" s="6"/>
    </row>
    <row r="493" spans="2:15" s="46" customFormat="1">
      <c r="B493" s="3"/>
      <c r="C493" s="3"/>
      <c r="G493" s="4"/>
      <c r="H493" s="4"/>
      <c r="I493" s="4"/>
      <c r="J493" s="4"/>
      <c r="K493" s="4"/>
      <c r="L493" s="4"/>
      <c r="M493" s="4"/>
      <c r="N493" s="4"/>
      <c r="O493" s="6"/>
    </row>
    <row r="494" spans="2:15" s="46" customFormat="1">
      <c r="B494" s="3"/>
      <c r="C494" s="3"/>
      <c r="G494" s="4"/>
      <c r="H494" s="4"/>
      <c r="I494" s="4"/>
      <c r="J494" s="4"/>
      <c r="K494" s="4"/>
      <c r="L494" s="4"/>
      <c r="M494" s="4"/>
      <c r="N494" s="4"/>
      <c r="O494" s="6"/>
    </row>
    <row r="495" spans="2:15" s="46" customFormat="1">
      <c r="B495" s="3"/>
      <c r="C495" s="3"/>
      <c r="G495" s="4"/>
      <c r="H495" s="4"/>
      <c r="I495" s="4"/>
      <c r="J495" s="4"/>
      <c r="K495" s="4"/>
      <c r="L495" s="4"/>
      <c r="M495" s="4"/>
      <c r="N495" s="4"/>
      <c r="O495" s="6"/>
    </row>
    <row r="496" spans="2:15" s="46" customFormat="1">
      <c r="B496" s="3"/>
      <c r="C496" s="3"/>
      <c r="G496" s="4"/>
      <c r="H496" s="4"/>
      <c r="I496" s="4"/>
      <c r="J496" s="4"/>
      <c r="K496" s="4"/>
      <c r="L496" s="4"/>
      <c r="M496" s="4"/>
      <c r="N496" s="4"/>
      <c r="O496" s="6"/>
    </row>
    <row r="497" spans="2:15" s="46" customFormat="1">
      <c r="B497" s="3"/>
      <c r="C497" s="3"/>
      <c r="G497" s="4"/>
      <c r="H497" s="4"/>
      <c r="I497" s="4"/>
      <c r="J497" s="4"/>
      <c r="K497" s="4"/>
      <c r="L497" s="4"/>
      <c r="M497" s="4"/>
      <c r="N497" s="4"/>
      <c r="O497" s="6"/>
    </row>
    <row r="498" spans="2:15" s="46" customFormat="1">
      <c r="B498" s="3"/>
      <c r="C498" s="3"/>
      <c r="G498" s="4"/>
      <c r="H498" s="4"/>
      <c r="I498" s="4"/>
      <c r="J498" s="4"/>
      <c r="K498" s="4"/>
      <c r="L498" s="4"/>
      <c r="M498" s="4"/>
      <c r="N498" s="4"/>
      <c r="O498" s="6"/>
    </row>
    <row r="499" spans="2:15" s="46" customFormat="1">
      <c r="B499" s="3"/>
      <c r="C499" s="3"/>
      <c r="G499" s="4"/>
      <c r="H499" s="4"/>
      <c r="I499" s="4"/>
      <c r="J499" s="4"/>
      <c r="K499" s="4"/>
      <c r="L499" s="4"/>
      <c r="M499" s="4"/>
      <c r="N499" s="4"/>
      <c r="O499" s="6"/>
    </row>
    <row r="500" spans="2:15" s="46" customFormat="1">
      <c r="B500" s="3"/>
      <c r="C500" s="3"/>
      <c r="G500" s="4"/>
      <c r="H500" s="4"/>
      <c r="I500" s="4"/>
      <c r="J500" s="4"/>
      <c r="K500" s="4"/>
      <c r="L500" s="4"/>
      <c r="M500" s="4"/>
      <c r="N500" s="4"/>
      <c r="O500" s="6"/>
    </row>
    <row r="501" spans="2:15" s="46" customFormat="1">
      <c r="B501" s="3"/>
      <c r="C501" s="3"/>
      <c r="G501" s="4"/>
      <c r="H501" s="4"/>
      <c r="I501" s="4"/>
      <c r="J501" s="4"/>
      <c r="K501" s="4"/>
      <c r="L501" s="4"/>
      <c r="M501" s="4"/>
      <c r="N501" s="4"/>
      <c r="O501" s="6"/>
    </row>
    <row r="502" spans="2:15" s="46" customFormat="1">
      <c r="B502" s="3"/>
      <c r="C502" s="3"/>
      <c r="G502" s="4"/>
      <c r="H502" s="4"/>
      <c r="I502" s="4"/>
      <c r="J502" s="4"/>
      <c r="K502" s="4"/>
      <c r="L502" s="4"/>
      <c r="M502" s="4"/>
      <c r="N502" s="4"/>
      <c r="O502" s="6"/>
    </row>
    <row r="503" spans="2:15" s="46" customFormat="1">
      <c r="B503" s="3"/>
      <c r="C503" s="3"/>
      <c r="G503" s="4"/>
      <c r="H503" s="4"/>
      <c r="I503" s="4"/>
      <c r="J503" s="4"/>
      <c r="K503" s="4"/>
      <c r="L503" s="4"/>
      <c r="M503" s="4"/>
      <c r="N503" s="4"/>
      <c r="O503" s="6"/>
    </row>
    <row r="504" spans="2:15" s="46" customFormat="1">
      <c r="B504" s="3"/>
      <c r="C504" s="3"/>
      <c r="G504" s="4"/>
      <c r="H504" s="4"/>
      <c r="I504" s="4"/>
      <c r="J504" s="4"/>
      <c r="K504" s="4"/>
      <c r="L504" s="4"/>
      <c r="M504" s="4"/>
      <c r="N504" s="4"/>
      <c r="O504" s="6"/>
    </row>
    <row r="505" spans="2:15" s="46" customFormat="1">
      <c r="B505" s="3"/>
      <c r="C505" s="3"/>
      <c r="G505" s="4"/>
      <c r="H505" s="4"/>
      <c r="I505" s="4"/>
      <c r="J505" s="4"/>
      <c r="K505" s="4"/>
      <c r="L505" s="4"/>
      <c r="M505" s="4"/>
      <c r="N505" s="4"/>
      <c r="O505" s="6"/>
    </row>
    <row r="506" spans="2:15" s="46" customFormat="1">
      <c r="B506" s="3"/>
      <c r="C506" s="3"/>
      <c r="G506" s="4"/>
      <c r="H506" s="4"/>
      <c r="I506" s="4"/>
      <c r="J506" s="4"/>
      <c r="K506" s="4"/>
      <c r="L506" s="4"/>
      <c r="M506" s="4"/>
      <c r="N506" s="4"/>
      <c r="O506" s="6"/>
    </row>
    <row r="507" spans="2:15" s="46" customFormat="1">
      <c r="B507" s="3"/>
      <c r="C507" s="3"/>
      <c r="G507" s="4"/>
      <c r="H507" s="4"/>
      <c r="I507" s="4"/>
      <c r="J507" s="4"/>
      <c r="K507" s="4"/>
      <c r="L507" s="4"/>
      <c r="M507" s="4"/>
      <c r="N507" s="4"/>
      <c r="O507" s="6"/>
    </row>
    <row r="508" spans="2:15" s="46" customFormat="1">
      <c r="B508" s="3"/>
      <c r="C508" s="3"/>
      <c r="G508" s="4"/>
      <c r="H508" s="4"/>
      <c r="I508" s="4"/>
      <c r="J508" s="4"/>
      <c r="K508" s="4"/>
      <c r="L508" s="4"/>
      <c r="M508" s="4"/>
      <c r="N508" s="4"/>
      <c r="O508" s="6"/>
    </row>
    <row r="509" spans="2:15" s="46" customFormat="1">
      <c r="B509" s="3"/>
      <c r="C509" s="3"/>
      <c r="G509" s="4"/>
      <c r="H509" s="4"/>
      <c r="I509" s="4"/>
      <c r="J509" s="4"/>
      <c r="K509" s="4"/>
      <c r="L509" s="4"/>
      <c r="M509" s="4"/>
      <c r="N509" s="4"/>
      <c r="O509" s="6"/>
    </row>
    <row r="510" spans="2:15" s="46" customFormat="1">
      <c r="B510" s="3"/>
      <c r="C510" s="3"/>
      <c r="G510" s="4"/>
      <c r="H510" s="4"/>
      <c r="I510" s="4"/>
      <c r="J510" s="4"/>
      <c r="K510" s="4"/>
      <c r="L510" s="4"/>
      <c r="M510" s="4"/>
      <c r="N510" s="4"/>
      <c r="O510" s="6"/>
    </row>
    <row r="511" spans="2:15" s="46" customFormat="1">
      <c r="B511" s="3"/>
      <c r="C511" s="3"/>
      <c r="G511" s="4"/>
      <c r="H511" s="4"/>
      <c r="I511" s="4"/>
      <c r="J511" s="4"/>
      <c r="K511" s="4"/>
      <c r="L511" s="4"/>
      <c r="M511" s="4"/>
      <c r="N511" s="4"/>
      <c r="O511" s="6"/>
    </row>
    <row r="512" spans="2:15" s="46" customFormat="1">
      <c r="B512" s="3"/>
      <c r="C512" s="3"/>
      <c r="G512" s="4"/>
      <c r="H512" s="4"/>
      <c r="I512" s="4"/>
      <c r="J512" s="4"/>
      <c r="K512" s="4"/>
      <c r="L512" s="4"/>
      <c r="M512" s="4"/>
      <c r="N512" s="4"/>
      <c r="O512" s="6"/>
    </row>
    <row r="513" spans="2:15" s="46" customFormat="1">
      <c r="B513" s="3"/>
      <c r="C513" s="3"/>
      <c r="G513" s="4"/>
      <c r="H513" s="4"/>
      <c r="I513" s="4"/>
      <c r="J513" s="4"/>
      <c r="K513" s="4"/>
      <c r="L513" s="4"/>
      <c r="M513" s="4"/>
      <c r="N513" s="4"/>
      <c r="O513" s="6"/>
    </row>
    <row r="514" spans="2:15" s="46" customFormat="1">
      <c r="B514" s="3"/>
      <c r="C514" s="3"/>
      <c r="G514" s="4"/>
      <c r="H514" s="4"/>
      <c r="I514" s="4"/>
      <c r="J514" s="4"/>
      <c r="K514" s="4"/>
      <c r="L514" s="4"/>
      <c r="M514" s="4"/>
      <c r="N514" s="4"/>
      <c r="O514" s="6"/>
    </row>
    <row r="515" spans="2:15" s="46" customFormat="1">
      <c r="B515" s="3"/>
      <c r="C515" s="3"/>
      <c r="G515" s="4"/>
      <c r="H515" s="4"/>
      <c r="I515" s="4"/>
      <c r="J515" s="4"/>
      <c r="K515" s="4"/>
      <c r="L515" s="4"/>
      <c r="M515" s="4"/>
      <c r="N515" s="4"/>
      <c r="O515" s="6"/>
    </row>
    <row r="516" spans="2:15" s="46" customFormat="1">
      <c r="B516" s="3"/>
      <c r="C516" s="3"/>
      <c r="G516" s="4"/>
      <c r="H516" s="4"/>
      <c r="I516" s="4"/>
      <c r="J516" s="4"/>
      <c r="K516" s="4"/>
      <c r="L516" s="4"/>
      <c r="M516" s="4"/>
      <c r="N516" s="4"/>
      <c r="O516" s="6"/>
    </row>
    <row r="517" spans="2:15" s="46" customFormat="1">
      <c r="B517" s="3"/>
      <c r="C517" s="3"/>
      <c r="G517" s="4"/>
      <c r="H517" s="4"/>
      <c r="I517" s="4"/>
      <c r="J517" s="4"/>
      <c r="K517" s="4"/>
      <c r="L517" s="4"/>
      <c r="M517" s="4"/>
      <c r="N517" s="4"/>
      <c r="O517" s="6"/>
    </row>
    <row r="518" spans="2:15" s="46" customFormat="1">
      <c r="B518" s="3"/>
      <c r="C518" s="3"/>
      <c r="G518" s="4"/>
      <c r="H518" s="4"/>
      <c r="I518" s="4"/>
      <c r="J518" s="4"/>
      <c r="K518" s="4"/>
      <c r="L518" s="4"/>
      <c r="M518" s="4"/>
      <c r="N518" s="4"/>
      <c r="O518" s="6"/>
    </row>
    <row r="519" spans="2:15" s="46" customFormat="1">
      <c r="B519" s="3"/>
      <c r="C519" s="3"/>
      <c r="G519" s="4"/>
      <c r="H519" s="4"/>
      <c r="I519" s="4"/>
      <c r="J519" s="4"/>
      <c r="K519" s="4"/>
      <c r="L519" s="4"/>
      <c r="M519" s="4"/>
      <c r="N519" s="4"/>
      <c r="O519" s="6"/>
    </row>
    <row r="520" spans="2:15" s="46" customFormat="1">
      <c r="B520" s="3"/>
      <c r="C520" s="3"/>
      <c r="G520" s="4"/>
      <c r="H520" s="4"/>
      <c r="I520" s="4"/>
      <c r="J520" s="4"/>
      <c r="K520" s="4"/>
      <c r="L520" s="4"/>
      <c r="M520" s="4"/>
      <c r="N520" s="4"/>
      <c r="O520" s="6"/>
    </row>
    <row r="521" spans="2:15" s="46" customFormat="1">
      <c r="B521" s="3"/>
      <c r="C521" s="3"/>
      <c r="G521" s="4"/>
      <c r="H521" s="4"/>
      <c r="I521" s="4"/>
      <c r="J521" s="4"/>
      <c r="K521" s="4"/>
      <c r="L521" s="4"/>
      <c r="M521" s="4"/>
      <c r="N521" s="4"/>
      <c r="O521" s="6"/>
    </row>
    <row r="522" spans="2:15" s="46" customFormat="1">
      <c r="B522" s="3"/>
      <c r="C522" s="3"/>
      <c r="G522" s="4"/>
      <c r="H522" s="4"/>
      <c r="I522" s="4"/>
      <c r="J522" s="4"/>
      <c r="K522" s="4"/>
      <c r="L522" s="4"/>
      <c r="M522" s="4"/>
      <c r="N522" s="4"/>
      <c r="O522" s="6"/>
    </row>
    <row r="523" spans="2:15" s="46" customFormat="1">
      <c r="B523" s="3"/>
      <c r="C523" s="3"/>
      <c r="G523" s="4"/>
      <c r="H523" s="4"/>
      <c r="I523" s="4"/>
      <c r="J523" s="4"/>
      <c r="K523" s="4"/>
      <c r="L523" s="4"/>
      <c r="M523" s="4"/>
      <c r="N523" s="4"/>
      <c r="O523" s="6"/>
    </row>
    <row r="524" spans="2:15" s="46" customFormat="1">
      <c r="B524" s="3"/>
      <c r="C524" s="3"/>
      <c r="G524" s="4"/>
      <c r="H524" s="4"/>
      <c r="I524" s="4"/>
      <c r="J524" s="4"/>
      <c r="K524" s="4"/>
      <c r="L524" s="4"/>
      <c r="M524" s="4"/>
      <c r="N524" s="4"/>
      <c r="O524" s="6"/>
    </row>
    <row r="525" spans="2:15" s="46" customFormat="1">
      <c r="B525" s="3"/>
      <c r="C525" s="3"/>
      <c r="G525" s="4"/>
      <c r="H525" s="4"/>
      <c r="I525" s="4"/>
      <c r="J525" s="4"/>
      <c r="K525" s="4"/>
      <c r="L525" s="4"/>
      <c r="M525" s="4"/>
      <c r="N525" s="4"/>
      <c r="O525" s="6"/>
    </row>
    <row r="526" spans="2:15" s="46" customFormat="1">
      <c r="B526" s="3"/>
      <c r="C526" s="3"/>
      <c r="G526" s="4"/>
      <c r="H526" s="4"/>
      <c r="I526" s="4"/>
      <c r="J526" s="4"/>
      <c r="K526" s="4"/>
      <c r="L526" s="4"/>
      <c r="M526" s="4"/>
      <c r="N526" s="4"/>
      <c r="O526" s="6"/>
    </row>
    <row r="527" spans="2:15" s="46" customFormat="1">
      <c r="B527" s="3"/>
      <c r="C527" s="3"/>
      <c r="G527" s="4"/>
      <c r="H527" s="4"/>
      <c r="I527" s="4"/>
      <c r="J527" s="4"/>
      <c r="K527" s="4"/>
      <c r="L527" s="4"/>
      <c r="M527" s="4"/>
      <c r="N527" s="4"/>
      <c r="O527" s="6"/>
    </row>
    <row r="528" spans="2:15" s="46" customFormat="1">
      <c r="B528" s="3"/>
      <c r="C528" s="3"/>
      <c r="G528" s="4"/>
      <c r="H528" s="4"/>
      <c r="I528" s="4"/>
      <c r="J528" s="4"/>
      <c r="K528" s="4"/>
      <c r="L528" s="4"/>
      <c r="M528" s="4"/>
      <c r="N528" s="4"/>
      <c r="O528" s="6"/>
    </row>
    <row r="529" spans="2:15" s="46" customFormat="1">
      <c r="B529" s="3"/>
      <c r="C529" s="3"/>
      <c r="G529" s="4"/>
      <c r="H529" s="4"/>
      <c r="I529" s="4"/>
      <c r="J529" s="4"/>
      <c r="K529" s="4"/>
      <c r="L529" s="4"/>
      <c r="M529" s="4"/>
      <c r="N529" s="4"/>
      <c r="O529" s="6"/>
    </row>
    <row r="530" spans="2:15" s="46" customFormat="1">
      <c r="B530" s="3"/>
      <c r="C530" s="3"/>
      <c r="G530" s="4"/>
      <c r="H530" s="4"/>
      <c r="I530" s="4"/>
      <c r="J530" s="4"/>
      <c r="K530" s="4"/>
      <c r="L530" s="4"/>
      <c r="M530" s="4"/>
      <c r="N530" s="4"/>
      <c r="O530" s="6"/>
    </row>
    <row r="531" spans="2:15" s="46" customFormat="1">
      <c r="B531" s="3"/>
      <c r="C531" s="3"/>
      <c r="G531" s="4"/>
      <c r="H531" s="4"/>
      <c r="I531" s="4"/>
      <c r="J531" s="4"/>
      <c r="K531" s="4"/>
      <c r="L531" s="4"/>
      <c r="M531" s="4"/>
      <c r="N531" s="4"/>
      <c r="O531" s="6"/>
    </row>
    <row r="532" spans="2:15" s="46" customFormat="1">
      <c r="B532" s="3"/>
      <c r="C532" s="3"/>
      <c r="G532" s="4"/>
      <c r="H532" s="4"/>
      <c r="I532" s="4"/>
      <c r="J532" s="4"/>
      <c r="K532" s="4"/>
      <c r="L532" s="4"/>
      <c r="M532" s="4"/>
      <c r="N532" s="4"/>
      <c r="O532" s="6"/>
    </row>
    <row r="533" spans="2:15" s="46" customFormat="1">
      <c r="B533" s="3"/>
      <c r="C533" s="3"/>
      <c r="G533" s="4"/>
      <c r="H533" s="4"/>
      <c r="I533" s="4"/>
      <c r="J533" s="4"/>
      <c r="K533" s="4"/>
      <c r="L533" s="4"/>
      <c r="M533" s="4"/>
      <c r="N533" s="4"/>
      <c r="O533" s="6"/>
    </row>
    <row r="534" spans="2:15" s="46" customFormat="1">
      <c r="B534" s="3"/>
      <c r="C534" s="3"/>
      <c r="G534" s="4"/>
      <c r="H534" s="4"/>
      <c r="I534" s="4"/>
      <c r="J534" s="4"/>
      <c r="K534" s="4"/>
      <c r="L534" s="4"/>
      <c r="M534" s="4"/>
      <c r="N534" s="4"/>
      <c r="O534" s="6"/>
    </row>
    <row r="535" spans="2:15" s="46" customFormat="1">
      <c r="B535" s="3"/>
      <c r="C535" s="3"/>
      <c r="G535" s="4"/>
      <c r="H535" s="4"/>
      <c r="I535" s="4"/>
      <c r="J535" s="4"/>
      <c r="K535" s="4"/>
      <c r="L535" s="4"/>
      <c r="M535" s="4"/>
      <c r="N535" s="4"/>
      <c r="O535" s="6"/>
    </row>
    <row r="536" spans="2:15" s="46" customFormat="1">
      <c r="B536" s="3"/>
      <c r="C536" s="3"/>
      <c r="G536" s="4"/>
      <c r="H536" s="4"/>
      <c r="I536" s="4"/>
      <c r="J536" s="4"/>
      <c r="K536" s="4"/>
      <c r="L536" s="4"/>
      <c r="M536" s="4"/>
      <c r="N536" s="4"/>
      <c r="O536" s="6"/>
    </row>
    <row r="537" spans="2:15" s="46" customFormat="1">
      <c r="B537" s="3"/>
      <c r="C537" s="3"/>
      <c r="G537" s="4"/>
      <c r="H537" s="4"/>
      <c r="I537" s="4"/>
      <c r="J537" s="4"/>
      <c r="K537" s="4"/>
      <c r="L537" s="4"/>
      <c r="M537" s="4"/>
      <c r="N537" s="4"/>
      <c r="O537" s="6"/>
    </row>
    <row r="538" spans="2:15" s="46" customFormat="1">
      <c r="B538" s="3"/>
      <c r="C538" s="3"/>
      <c r="G538" s="4"/>
      <c r="H538" s="4"/>
      <c r="I538" s="4"/>
      <c r="J538" s="4"/>
      <c r="K538" s="4"/>
      <c r="L538" s="4"/>
      <c r="M538" s="4"/>
      <c r="N538" s="4"/>
      <c r="O538" s="6"/>
    </row>
    <row r="539" spans="2:15" s="46" customFormat="1">
      <c r="B539" s="3"/>
      <c r="C539" s="3"/>
      <c r="G539" s="4"/>
      <c r="H539" s="4"/>
      <c r="I539" s="4"/>
      <c r="J539" s="4"/>
      <c r="K539" s="4"/>
      <c r="L539" s="4"/>
      <c r="M539" s="4"/>
      <c r="N539" s="4"/>
      <c r="O539" s="6"/>
    </row>
    <row r="540" spans="2:15" s="46" customFormat="1">
      <c r="B540" s="3"/>
      <c r="C540" s="3"/>
      <c r="G540" s="4"/>
      <c r="H540" s="4"/>
      <c r="I540" s="4"/>
      <c r="J540" s="4"/>
      <c r="K540" s="4"/>
      <c r="L540" s="4"/>
      <c r="M540" s="4"/>
      <c r="N540" s="4"/>
      <c r="O540" s="6"/>
    </row>
    <row r="541" spans="2:15" s="46" customFormat="1">
      <c r="B541" s="3"/>
      <c r="C541" s="3"/>
      <c r="G541" s="4"/>
      <c r="H541" s="4"/>
      <c r="I541" s="4"/>
      <c r="J541" s="4"/>
      <c r="K541" s="4"/>
      <c r="L541" s="4"/>
      <c r="M541" s="4"/>
      <c r="N541" s="4"/>
      <c r="O541" s="6"/>
    </row>
    <row r="542" spans="2:15" s="46" customFormat="1">
      <c r="B542" s="3"/>
      <c r="C542" s="3"/>
      <c r="G542" s="4"/>
      <c r="H542" s="4"/>
      <c r="I542" s="4"/>
      <c r="J542" s="4"/>
      <c r="K542" s="4"/>
      <c r="L542" s="4"/>
      <c r="M542" s="4"/>
      <c r="N542" s="4"/>
      <c r="O542" s="6"/>
    </row>
    <row r="543" spans="2:15" s="46" customFormat="1">
      <c r="B543" s="3"/>
      <c r="C543" s="3"/>
      <c r="G543" s="4"/>
      <c r="H543" s="4"/>
      <c r="I543" s="4"/>
      <c r="J543" s="4"/>
      <c r="K543" s="4"/>
      <c r="L543" s="4"/>
      <c r="M543" s="4"/>
      <c r="N543" s="4"/>
      <c r="O543" s="6"/>
    </row>
    <row r="544" spans="2:15" s="46" customFormat="1">
      <c r="B544" s="3"/>
      <c r="C544" s="3"/>
      <c r="G544" s="4"/>
      <c r="H544" s="4"/>
      <c r="I544" s="4"/>
      <c r="J544" s="4"/>
      <c r="K544" s="4"/>
      <c r="L544" s="4"/>
      <c r="M544" s="4"/>
      <c r="N544" s="4"/>
      <c r="O544" s="6"/>
    </row>
    <row r="545" spans="2:15" s="46" customFormat="1">
      <c r="B545" s="3"/>
      <c r="C545" s="3"/>
      <c r="G545" s="4"/>
      <c r="H545" s="4"/>
      <c r="I545" s="4"/>
      <c r="J545" s="4"/>
      <c r="K545" s="4"/>
      <c r="L545" s="4"/>
      <c r="M545" s="4"/>
      <c r="N545" s="4"/>
      <c r="O545" s="6"/>
    </row>
    <row r="546" spans="2:15" s="46" customFormat="1">
      <c r="B546" s="3"/>
      <c r="C546" s="3"/>
      <c r="G546" s="4"/>
      <c r="H546" s="4"/>
      <c r="I546" s="4"/>
      <c r="J546" s="4"/>
      <c r="K546" s="4"/>
      <c r="L546" s="4"/>
      <c r="M546" s="4"/>
      <c r="N546" s="4"/>
      <c r="O546" s="6"/>
    </row>
    <row r="547" spans="2:15" s="46" customFormat="1">
      <c r="B547" s="3"/>
      <c r="C547" s="3"/>
      <c r="G547" s="4"/>
      <c r="H547" s="4"/>
      <c r="I547" s="4"/>
      <c r="J547" s="4"/>
      <c r="K547" s="4"/>
      <c r="L547" s="4"/>
      <c r="M547" s="4"/>
      <c r="N547" s="4"/>
      <c r="O547" s="6"/>
    </row>
    <row r="548" spans="2:15" s="46" customFormat="1">
      <c r="B548" s="3"/>
      <c r="C548" s="3"/>
      <c r="G548" s="4"/>
      <c r="H548" s="4"/>
      <c r="I548" s="4"/>
      <c r="J548" s="4"/>
      <c r="K548" s="4"/>
      <c r="L548" s="4"/>
      <c r="M548" s="4"/>
      <c r="N548" s="4"/>
      <c r="O548" s="6"/>
    </row>
    <row r="549" spans="2:15" s="46" customFormat="1">
      <c r="B549" s="3"/>
      <c r="C549" s="3"/>
      <c r="G549" s="4"/>
      <c r="H549" s="4"/>
      <c r="I549" s="4"/>
      <c r="J549" s="4"/>
      <c r="K549" s="4"/>
      <c r="L549" s="4"/>
      <c r="M549" s="4"/>
      <c r="N549" s="4"/>
      <c r="O549" s="6"/>
    </row>
    <row r="550" spans="2:15" s="46" customFormat="1">
      <c r="B550" s="3"/>
      <c r="C550" s="3"/>
      <c r="G550" s="4"/>
      <c r="H550" s="4"/>
      <c r="I550" s="4"/>
      <c r="J550" s="4"/>
      <c r="K550" s="4"/>
      <c r="L550" s="4"/>
      <c r="M550" s="4"/>
      <c r="N550" s="4"/>
      <c r="O550" s="6"/>
    </row>
    <row r="551" spans="2:15" s="46" customFormat="1">
      <c r="B551" s="3"/>
      <c r="C551" s="3"/>
      <c r="G551" s="4"/>
      <c r="H551" s="4"/>
      <c r="I551" s="4"/>
      <c r="J551" s="4"/>
      <c r="K551" s="4"/>
      <c r="L551" s="4"/>
      <c r="M551" s="4"/>
      <c r="N551" s="4"/>
      <c r="O551" s="6"/>
    </row>
    <row r="552" spans="2:15" s="46" customFormat="1">
      <c r="B552" s="3"/>
      <c r="C552" s="3"/>
      <c r="G552" s="4"/>
      <c r="H552" s="4"/>
      <c r="I552" s="4"/>
      <c r="J552" s="4"/>
      <c r="K552" s="4"/>
      <c r="L552" s="4"/>
      <c r="M552" s="4"/>
      <c r="N552" s="4"/>
      <c r="O552" s="6"/>
    </row>
    <row r="553" spans="2:15" s="46" customFormat="1">
      <c r="B553" s="3"/>
      <c r="C553" s="3"/>
      <c r="G553" s="4"/>
      <c r="H553" s="4"/>
      <c r="I553" s="4"/>
      <c r="J553" s="4"/>
      <c r="K553" s="4"/>
      <c r="L553" s="4"/>
      <c r="M553" s="4"/>
      <c r="N553" s="4"/>
      <c r="O553" s="6"/>
    </row>
    <row r="554" spans="2:15" s="46" customFormat="1">
      <c r="B554" s="3"/>
      <c r="C554" s="3"/>
      <c r="G554" s="4"/>
      <c r="H554" s="4"/>
      <c r="I554" s="4"/>
      <c r="J554" s="4"/>
      <c r="K554" s="4"/>
      <c r="L554" s="4"/>
      <c r="M554" s="4"/>
      <c r="N554" s="4"/>
      <c r="O554" s="6"/>
    </row>
    <row r="555" spans="2:15" s="46" customFormat="1">
      <c r="B555" s="3"/>
      <c r="C555" s="3"/>
      <c r="G555" s="4"/>
      <c r="H555" s="4"/>
      <c r="I555" s="4"/>
      <c r="J555" s="4"/>
      <c r="K555" s="4"/>
      <c r="L555" s="4"/>
      <c r="M555" s="4"/>
      <c r="N555" s="4"/>
      <c r="O555" s="6"/>
    </row>
    <row r="556" spans="2:15" s="46" customFormat="1">
      <c r="B556" s="3"/>
      <c r="C556" s="3"/>
      <c r="G556" s="4"/>
      <c r="H556" s="4"/>
      <c r="I556" s="4"/>
      <c r="J556" s="4"/>
      <c r="K556" s="4"/>
      <c r="L556" s="4"/>
      <c r="M556" s="4"/>
      <c r="N556" s="4"/>
      <c r="O556" s="6"/>
    </row>
    <row r="557" spans="2:15" s="46" customFormat="1">
      <c r="B557" s="3"/>
      <c r="C557" s="3"/>
      <c r="G557" s="4"/>
      <c r="H557" s="4"/>
      <c r="I557" s="4"/>
      <c r="J557" s="4"/>
      <c r="K557" s="4"/>
      <c r="L557" s="4"/>
      <c r="M557" s="4"/>
      <c r="N557" s="4"/>
      <c r="O557" s="6"/>
    </row>
    <row r="558" spans="2:15" s="46" customFormat="1">
      <c r="B558" s="3"/>
      <c r="C558" s="3"/>
      <c r="G558" s="4"/>
      <c r="H558" s="4"/>
      <c r="I558" s="4"/>
      <c r="J558" s="4"/>
      <c r="K558" s="4"/>
      <c r="L558" s="4"/>
      <c r="M558" s="4"/>
      <c r="N558" s="4"/>
      <c r="O558" s="6"/>
    </row>
    <row r="559" spans="2:15" s="46" customFormat="1">
      <c r="B559" s="3"/>
      <c r="C559" s="3"/>
      <c r="G559" s="4"/>
      <c r="H559" s="4"/>
      <c r="I559" s="4"/>
      <c r="J559" s="4"/>
      <c r="K559" s="4"/>
      <c r="L559" s="4"/>
      <c r="M559" s="4"/>
      <c r="N559" s="4"/>
      <c r="O559" s="6"/>
    </row>
    <row r="560" spans="2:15" s="46" customFormat="1">
      <c r="B560" s="3"/>
      <c r="C560" s="3"/>
      <c r="G560" s="4"/>
      <c r="H560" s="4"/>
      <c r="I560" s="4"/>
      <c r="J560" s="4"/>
      <c r="K560" s="4"/>
      <c r="L560" s="4"/>
      <c r="M560" s="4"/>
      <c r="N560" s="4"/>
      <c r="O560" s="6"/>
    </row>
    <row r="561" spans="2:15" s="46" customFormat="1">
      <c r="B561" s="3"/>
      <c r="C561" s="3"/>
      <c r="G561" s="4"/>
      <c r="H561" s="4"/>
      <c r="I561" s="4"/>
      <c r="J561" s="4"/>
      <c r="K561" s="4"/>
      <c r="L561" s="4"/>
      <c r="M561" s="4"/>
      <c r="N561" s="4"/>
      <c r="O561" s="6"/>
    </row>
    <row r="562" spans="2:15" s="46" customFormat="1">
      <c r="B562" s="3"/>
      <c r="C562" s="3"/>
      <c r="G562" s="4"/>
      <c r="H562" s="4"/>
      <c r="I562" s="4"/>
      <c r="J562" s="4"/>
      <c r="K562" s="4"/>
      <c r="L562" s="4"/>
      <c r="M562" s="4"/>
      <c r="N562" s="4"/>
      <c r="O562" s="6"/>
    </row>
    <row r="563" spans="2:15" s="46" customFormat="1">
      <c r="B563" s="3"/>
      <c r="C563" s="3"/>
      <c r="G563" s="4"/>
      <c r="H563" s="4"/>
      <c r="I563" s="4"/>
      <c r="J563" s="4"/>
      <c r="K563" s="4"/>
      <c r="L563" s="4"/>
      <c r="M563" s="4"/>
      <c r="N563" s="4"/>
      <c r="O563" s="6"/>
    </row>
    <row r="564" spans="2:15" s="46" customFormat="1">
      <c r="B564" s="3"/>
      <c r="C564" s="3"/>
      <c r="G564" s="4"/>
      <c r="H564" s="4"/>
      <c r="I564" s="4"/>
      <c r="J564" s="4"/>
      <c r="K564" s="4"/>
      <c r="L564" s="4"/>
      <c r="M564" s="4"/>
      <c r="N564" s="4"/>
      <c r="O564" s="6"/>
    </row>
    <row r="565" spans="2:15" s="46" customFormat="1">
      <c r="B565" s="3"/>
      <c r="C565" s="3"/>
      <c r="G565" s="4"/>
      <c r="H565" s="4"/>
      <c r="I565" s="4"/>
      <c r="J565" s="4"/>
      <c r="K565" s="4"/>
      <c r="L565" s="4"/>
      <c r="M565" s="4"/>
      <c r="N565" s="4"/>
      <c r="O565" s="6"/>
    </row>
    <row r="566" spans="2:15" s="46" customFormat="1">
      <c r="B566" s="3"/>
      <c r="C566" s="3"/>
      <c r="G566" s="4"/>
      <c r="H566" s="4"/>
      <c r="I566" s="4"/>
      <c r="J566" s="4"/>
      <c r="K566" s="4"/>
      <c r="L566" s="4"/>
      <c r="M566" s="4"/>
      <c r="N566" s="4"/>
      <c r="O566" s="6"/>
    </row>
    <row r="567" spans="2:15" s="46" customFormat="1">
      <c r="B567" s="3"/>
      <c r="C567" s="3"/>
      <c r="G567" s="4"/>
      <c r="H567" s="4"/>
      <c r="I567" s="4"/>
      <c r="J567" s="4"/>
      <c r="K567" s="4"/>
      <c r="L567" s="4"/>
      <c r="M567" s="4"/>
      <c r="N567" s="4"/>
      <c r="O567" s="6"/>
    </row>
    <row r="568" spans="2:15" s="46" customFormat="1">
      <c r="B568" s="3"/>
      <c r="C568" s="3"/>
      <c r="G568" s="4"/>
      <c r="H568" s="4"/>
      <c r="I568" s="4"/>
      <c r="J568" s="4"/>
      <c r="K568" s="4"/>
      <c r="L568" s="4"/>
      <c r="M568" s="4"/>
      <c r="N568" s="4"/>
      <c r="O568" s="6"/>
    </row>
    <row r="569" spans="2:15" s="46" customFormat="1">
      <c r="B569" s="3"/>
      <c r="C569" s="3"/>
      <c r="G569" s="4"/>
      <c r="H569" s="4"/>
      <c r="I569" s="4"/>
      <c r="J569" s="4"/>
      <c r="K569" s="4"/>
      <c r="L569" s="4"/>
      <c r="M569" s="4"/>
      <c r="N569" s="4"/>
      <c r="O569" s="6"/>
    </row>
    <row r="570" spans="2:15" s="46" customFormat="1">
      <c r="B570" s="3"/>
      <c r="C570" s="3"/>
      <c r="G570" s="4"/>
      <c r="H570" s="4"/>
      <c r="I570" s="4"/>
      <c r="J570" s="4"/>
      <c r="K570" s="4"/>
      <c r="L570" s="4"/>
      <c r="M570" s="4"/>
      <c r="N570" s="4"/>
      <c r="O570" s="6"/>
    </row>
    <row r="571" spans="2:15" s="46" customFormat="1">
      <c r="B571" s="3"/>
      <c r="C571" s="3"/>
      <c r="G571" s="4"/>
      <c r="H571" s="4"/>
      <c r="I571" s="4"/>
      <c r="J571" s="4"/>
      <c r="K571" s="4"/>
      <c r="L571" s="4"/>
      <c r="M571" s="4"/>
      <c r="N571" s="4"/>
      <c r="O571" s="6"/>
    </row>
    <row r="572" spans="2:15" s="46" customFormat="1">
      <c r="B572" s="3"/>
      <c r="C572" s="3"/>
      <c r="G572" s="4"/>
      <c r="H572" s="4"/>
      <c r="I572" s="4"/>
      <c r="J572" s="4"/>
      <c r="K572" s="4"/>
      <c r="L572" s="4"/>
      <c r="M572" s="4"/>
      <c r="N572" s="4"/>
      <c r="O572" s="6"/>
    </row>
    <row r="573" spans="2:15" s="46" customFormat="1">
      <c r="B573" s="3"/>
      <c r="C573" s="3"/>
      <c r="G573" s="4"/>
      <c r="H573" s="4"/>
      <c r="I573" s="4"/>
      <c r="J573" s="4"/>
      <c r="K573" s="4"/>
      <c r="L573" s="4"/>
      <c r="M573" s="4"/>
      <c r="N573" s="4"/>
      <c r="O573" s="6"/>
    </row>
    <row r="574" spans="2:15" s="46" customFormat="1">
      <c r="B574" s="3"/>
      <c r="C574" s="3"/>
      <c r="G574" s="4"/>
      <c r="H574" s="4"/>
      <c r="I574" s="4"/>
      <c r="J574" s="4"/>
      <c r="K574" s="4"/>
      <c r="L574" s="4"/>
      <c r="M574" s="4"/>
      <c r="N574" s="4"/>
      <c r="O574" s="6"/>
    </row>
    <row r="575" spans="2:15" s="46" customFormat="1">
      <c r="B575" s="3"/>
      <c r="C575" s="3"/>
      <c r="G575" s="4"/>
      <c r="H575" s="4"/>
      <c r="I575" s="4"/>
      <c r="J575" s="4"/>
      <c r="K575" s="4"/>
      <c r="L575" s="4"/>
      <c r="M575" s="4"/>
      <c r="N575" s="4"/>
      <c r="O575" s="6"/>
    </row>
    <row r="576" spans="2:15" s="46" customFormat="1">
      <c r="B576" s="3"/>
      <c r="C576" s="3"/>
      <c r="G576" s="4"/>
      <c r="H576" s="4"/>
      <c r="I576" s="4"/>
      <c r="J576" s="4"/>
      <c r="K576" s="4"/>
      <c r="L576" s="4"/>
      <c r="M576" s="4"/>
      <c r="N576" s="4"/>
      <c r="O576" s="6"/>
    </row>
    <row r="577" spans="2:15" s="46" customFormat="1">
      <c r="B577" s="3"/>
      <c r="C577" s="3"/>
      <c r="G577" s="4"/>
      <c r="H577" s="4"/>
      <c r="I577" s="4"/>
      <c r="J577" s="4"/>
      <c r="K577" s="4"/>
      <c r="L577" s="4"/>
      <c r="M577" s="4"/>
      <c r="N577" s="4"/>
      <c r="O577" s="6"/>
    </row>
    <row r="578" spans="2:15" s="46" customFormat="1">
      <c r="B578" s="3"/>
      <c r="C578" s="3"/>
      <c r="G578" s="4"/>
      <c r="H578" s="4"/>
      <c r="I578" s="4"/>
      <c r="J578" s="4"/>
      <c r="K578" s="4"/>
      <c r="L578" s="4"/>
      <c r="M578" s="4"/>
      <c r="N578" s="4"/>
      <c r="O578" s="6"/>
    </row>
    <row r="579" spans="2:15" s="46" customFormat="1">
      <c r="B579" s="3"/>
      <c r="C579" s="3"/>
      <c r="G579" s="4"/>
      <c r="H579" s="4"/>
      <c r="I579" s="4"/>
      <c r="J579" s="4"/>
      <c r="K579" s="4"/>
      <c r="L579" s="4"/>
      <c r="M579" s="4"/>
      <c r="N579" s="4"/>
      <c r="O579" s="6"/>
    </row>
    <row r="580" spans="2:15" s="46" customFormat="1">
      <c r="B580" s="3"/>
      <c r="C580" s="3"/>
      <c r="G580" s="4"/>
      <c r="H580" s="4"/>
      <c r="I580" s="4"/>
      <c r="J580" s="4"/>
      <c r="K580" s="4"/>
      <c r="L580" s="4"/>
      <c r="M580" s="4"/>
      <c r="N580" s="4"/>
      <c r="O580" s="6"/>
    </row>
    <row r="581" spans="2:15" s="46" customFormat="1">
      <c r="B581" s="3"/>
      <c r="C581" s="3"/>
      <c r="G581" s="4"/>
      <c r="H581" s="4"/>
      <c r="I581" s="4"/>
      <c r="J581" s="4"/>
      <c r="K581" s="4"/>
      <c r="L581" s="4"/>
      <c r="M581" s="4"/>
      <c r="N581" s="4"/>
      <c r="O581" s="6"/>
    </row>
    <row r="582" spans="2:15" s="46" customFormat="1">
      <c r="B582" s="3"/>
      <c r="C582" s="3"/>
      <c r="G582" s="4"/>
      <c r="H582" s="4"/>
      <c r="I582" s="4"/>
      <c r="J582" s="4"/>
      <c r="K582" s="4"/>
      <c r="L582" s="4"/>
      <c r="M582" s="4"/>
      <c r="N582" s="4"/>
      <c r="O582" s="6"/>
    </row>
    <row r="583" spans="2:15" s="46" customFormat="1">
      <c r="B583" s="3"/>
      <c r="C583" s="3"/>
      <c r="G583" s="4"/>
      <c r="H583" s="4"/>
      <c r="I583" s="4"/>
      <c r="J583" s="4"/>
      <c r="K583" s="4"/>
      <c r="L583" s="4"/>
      <c r="M583" s="4"/>
      <c r="N583" s="4"/>
      <c r="O583" s="6"/>
    </row>
    <row r="584" spans="2:15" s="46" customFormat="1">
      <c r="B584" s="3"/>
      <c r="C584" s="3"/>
      <c r="G584" s="4"/>
      <c r="H584" s="4"/>
      <c r="I584" s="4"/>
      <c r="J584" s="4"/>
      <c r="K584" s="4"/>
      <c r="L584" s="4"/>
      <c r="M584" s="4"/>
      <c r="N584" s="4"/>
      <c r="O584" s="6"/>
    </row>
    <row r="585" spans="2:15" s="46" customFormat="1">
      <c r="B585" s="3"/>
      <c r="C585" s="3"/>
      <c r="G585" s="4"/>
      <c r="H585" s="4"/>
      <c r="I585" s="4"/>
      <c r="J585" s="4"/>
      <c r="K585" s="4"/>
      <c r="L585" s="4"/>
      <c r="M585" s="4"/>
      <c r="N585" s="4"/>
      <c r="O585" s="6"/>
    </row>
    <row r="586" spans="2:15" s="46" customFormat="1">
      <c r="B586" s="3"/>
      <c r="C586" s="3"/>
      <c r="G586" s="4"/>
      <c r="H586" s="4"/>
      <c r="I586" s="4"/>
      <c r="J586" s="4"/>
      <c r="K586" s="4"/>
      <c r="L586" s="4"/>
      <c r="M586" s="4"/>
      <c r="N586" s="4"/>
      <c r="O586" s="6"/>
    </row>
    <row r="587" spans="2:15" s="46" customFormat="1">
      <c r="B587" s="3"/>
      <c r="C587" s="3"/>
      <c r="G587" s="4"/>
      <c r="H587" s="4"/>
      <c r="I587" s="4"/>
      <c r="J587" s="4"/>
      <c r="K587" s="4"/>
      <c r="L587" s="4"/>
      <c r="M587" s="4"/>
      <c r="N587" s="4"/>
      <c r="O587" s="6"/>
    </row>
    <row r="588" spans="2:15" s="46" customFormat="1">
      <c r="B588" s="3"/>
      <c r="C588" s="3"/>
      <c r="G588" s="4"/>
      <c r="H588" s="4"/>
      <c r="I588" s="4"/>
      <c r="J588" s="4"/>
      <c r="K588" s="4"/>
      <c r="L588" s="4"/>
      <c r="M588" s="4"/>
      <c r="N588" s="4"/>
      <c r="O588" s="6"/>
    </row>
    <row r="589" spans="2:15" s="46" customFormat="1">
      <c r="B589" s="3"/>
      <c r="C589" s="3"/>
      <c r="G589" s="4"/>
      <c r="H589" s="4"/>
      <c r="I589" s="4"/>
      <c r="J589" s="4"/>
      <c r="K589" s="4"/>
      <c r="L589" s="4"/>
      <c r="M589" s="4"/>
      <c r="N589" s="4"/>
      <c r="O589" s="6"/>
    </row>
    <row r="590" spans="2:15" s="46" customFormat="1">
      <c r="B590" s="3"/>
      <c r="C590" s="3"/>
      <c r="G590" s="4"/>
      <c r="H590" s="4"/>
      <c r="I590" s="4"/>
      <c r="J590" s="4"/>
      <c r="K590" s="4"/>
      <c r="L590" s="4"/>
      <c r="M590" s="4"/>
      <c r="N590" s="4"/>
      <c r="O590" s="6"/>
    </row>
    <row r="591" spans="2:15" s="46" customFormat="1">
      <c r="B591" s="3"/>
      <c r="C591" s="3"/>
      <c r="G591" s="4"/>
      <c r="H591" s="4"/>
      <c r="I591" s="4"/>
      <c r="J591" s="4"/>
      <c r="K591" s="4"/>
      <c r="L591" s="4"/>
      <c r="M591" s="4"/>
      <c r="N591" s="4"/>
      <c r="O591" s="6"/>
    </row>
    <row r="592" spans="2:15" s="46" customFormat="1">
      <c r="B592" s="3"/>
      <c r="C592" s="3"/>
      <c r="G592" s="4"/>
      <c r="H592" s="4"/>
      <c r="I592" s="4"/>
      <c r="J592" s="4"/>
      <c r="K592" s="4"/>
      <c r="L592" s="4"/>
      <c r="M592" s="4"/>
      <c r="N592" s="4"/>
      <c r="O592" s="6"/>
    </row>
    <row r="593" spans="2:15" s="46" customFormat="1">
      <c r="B593" s="3"/>
      <c r="C593" s="3"/>
      <c r="G593" s="4"/>
      <c r="H593" s="4"/>
      <c r="I593" s="4"/>
      <c r="J593" s="4"/>
      <c r="K593" s="4"/>
      <c r="L593" s="4"/>
      <c r="M593" s="4"/>
      <c r="N593" s="4"/>
      <c r="O593" s="6"/>
    </row>
    <row r="594" spans="2:15" s="46" customFormat="1">
      <c r="B594" s="3"/>
      <c r="C594" s="3"/>
      <c r="G594" s="4"/>
      <c r="H594" s="4"/>
      <c r="I594" s="4"/>
      <c r="J594" s="4"/>
      <c r="K594" s="4"/>
      <c r="L594" s="4"/>
      <c r="M594" s="4"/>
      <c r="N594" s="4"/>
      <c r="O594" s="6"/>
    </row>
    <row r="595" spans="2:15" s="46" customFormat="1">
      <c r="B595" s="3"/>
      <c r="C595" s="3"/>
      <c r="G595" s="4"/>
      <c r="H595" s="4"/>
      <c r="I595" s="4"/>
      <c r="J595" s="4"/>
      <c r="K595" s="4"/>
      <c r="L595" s="4"/>
      <c r="M595" s="4"/>
      <c r="N595" s="4"/>
      <c r="O595" s="6"/>
    </row>
    <row r="596" spans="2:15" s="46" customFormat="1">
      <c r="B596" s="3"/>
      <c r="C596" s="3"/>
      <c r="G596" s="4"/>
      <c r="H596" s="4"/>
      <c r="I596" s="4"/>
      <c r="J596" s="4"/>
      <c r="K596" s="4"/>
      <c r="L596" s="4"/>
      <c r="M596" s="4"/>
      <c r="N596" s="4"/>
      <c r="O596" s="6"/>
    </row>
    <row r="597" spans="2:15" s="46" customFormat="1">
      <c r="B597" s="3"/>
      <c r="C597" s="3"/>
      <c r="G597" s="4"/>
      <c r="H597" s="4"/>
      <c r="I597" s="4"/>
      <c r="J597" s="4"/>
      <c r="K597" s="4"/>
      <c r="L597" s="4"/>
      <c r="M597" s="4"/>
      <c r="N597" s="4"/>
      <c r="O597" s="6"/>
    </row>
    <row r="598" spans="2:15" s="46" customFormat="1">
      <c r="B598" s="3"/>
      <c r="C598" s="3"/>
      <c r="G598" s="4"/>
      <c r="H598" s="4"/>
      <c r="I598" s="4"/>
      <c r="J598" s="4"/>
      <c r="K598" s="4"/>
      <c r="L598" s="4"/>
      <c r="M598" s="4"/>
      <c r="N598" s="4"/>
      <c r="O598" s="6"/>
    </row>
    <row r="599" spans="2:15" s="46" customFormat="1">
      <c r="B599" s="3"/>
      <c r="C599" s="3"/>
      <c r="G599" s="4"/>
      <c r="H599" s="4"/>
      <c r="I599" s="4"/>
      <c r="J599" s="4"/>
      <c r="K599" s="4"/>
      <c r="L599" s="4"/>
      <c r="M599" s="4"/>
      <c r="N599" s="4"/>
      <c r="O599" s="6"/>
    </row>
    <row r="600" spans="2:15" s="46" customFormat="1">
      <c r="B600" s="3"/>
      <c r="C600" s="3"/>
      <c r="G600" s="4"/>
      <c r="H600" s="4"/>
      <c r="I600" s="4"/>
      <c r="J600" s="4"/>
      <c r="K600" s="4"/>
      <c r="L600" s="4"/>
      <c r="M600" s="4"/>
      <c r="N600" s="4"/>
      <c r="O600" s="6"/>
    </row>
    <row r="601" spans="2:15" s="46" customFormat="1">
      <c r="B601" s="3"/>
      <c r="C601" s="3"/>
      <c r="G601" s="4"/>
      <c r="H601" s="4"/>
      <c r="I601" s="4"/>
      <c r="J601" s="4"/>
      <c r="K601" s="4"/>
      <c r="L601" s="4"/>
      <c r="M601" s="4"/>
      <c r="N601" s="4"/>
      <c r="O601" s="6"/>
    </row>
    <row r="602" spans="2:15" s="46" customFormat="1">
      <c r="B602" s="3"/>
      <c r="C602" s="3"/>
      <c r="G602" s="4"/>
      <c r="H602" s="4"/>
      <c r="I602" s="4"/>
      <c r="J602" s="4"/>
      <c r="K602" s="4"/>
      <c r="L602" s="4"/>
      <c r="M602" s="4"/>
      <c r="N602" s="4"/>
      <c r="O602" s="6"/>
    </row>
    <row r="603" spans="2:15" s="46" customFormat="1">
      <c r="B603" s="3"/>
      <c r="C603" s="3"/>
      <c r="G603" s="4"/>
      <c r="H603" s="4"/>
      <c r="I603" s="4"/>
      <c r="J603" s="4"/>
      <c r="K603" s="4"/>
      <c r="L603" s="4"/>
      <c r="M603" s="4"/>
      <c r="N603" s="4"/>
      <c r="O603" s="6"/>
    </row>
    <row r="604" spans="2:15" s="46" customFormat="1">
      <c r="B604" s="3"/>
      <c r="C604" s="3"/>
      <c r="G604" s="4"/>
      <c r="H604" s="4"/>
      <c r="I604" s="4"/>
      <c r="J604" s="4"/>
      <c r="K604" s="4"/>
      <c r="L604" s="4"/>
      <c r="M604" s="4"/>
      <c r="N604" s="4"/>
      <c r="O604" s="6"/>
    </row>
    <row r="605" spans="2:15" s="46" customFormat="1">
      <c r="B605" s="3"/>
      <c r="C605" s="3"/>
      <c r="G605" s="4"/>
      <c r="H605" s="4"/>
      <c r="I605" s="4"/>
      <c r="J605" s="4"/>
      <c r="K605" s="4"/>
      <c r="L605" s="4"/>
      <c r="M605" s="4"/>
      <c r="N605" s="4"/>
      <c r="O605" s="6"/>
    </row>
    <row r="606" spans="2:15" s="46" customFormat="1">
      <c r="B606" s="3"/>
      <c r="C606" s="3"/>
      <c r="G606" s="4"/>
      <c r="H606" s="4"/>
      <c r="I606" s="4"/>
      <c r="J606" s="4"/>
      <c r="K606" s="4"/>
      <c r="L606" s="4"/>
      <c r="M606" s="4"/>
      <c r="N606" s="4"/>
      <c r="O606" s="6"/>
    </row>
    <row r="607" spans="2:15" s="46" customFormat="1">
      <c r="B607" s="3"/>
      <c r="C607" s="3"/>
      <c r="G607" s="4"/>
      <c r="H607" s="4"/>
      <c r="I607" s="4"/>
      <c r="J607" s="4"/>
      <c r="K607" s="4"/>
      <c r="L607" s="4"/>
      <c r="M607" s="4"/>
      <c r="N607" s="4"/>
      <c r="O607" s="6"/>
    </row>
    <row r="608" spans="2:15" s="46" customFormat="1">
      <c r="B608" s="3"/>
      <c r="C608" s="3"/>
      <c r="G608" s="4"/>
      <c r="H608" s="4"/>
      <c r="I608" s="4"/>
      <c r="J608" s="4"/>
      <c r="K608" s="4"/>
      <c r="L608" s="4"/>
      <c r="M608" s="4"/>
      <c r="N608" s="4"/>
      <c r="O608" s="6"/>
    </row>
    <row r="609" spans="2:15" s="46" customFormat="1">
      <c r="B609" s="3"/>
      <c r="C609" s="3"/>
      <c r="G609" s="4"/>
      <c r="H609" s="4"/>
      <c r="I609" s="4"/>
      <c r="J609" s="4"/>
      <c r="K609" s="4"/>
      <c r="L609" s="4"/>
      <c r="M609" s="4"/>
      <c r="N609" s="4"/>
      <c r="O609" s="6"/>
    </row>
    <row r="610" spans="2:15" s="46" customFormat="1">
      <c r="B610" s="3"/>
      <c r="C610" s="3"/>
      <c r="G610" s="4"/>
      <c r="H610" s="4"/>
      <c r="I610" s="4"/>
      <c r="J610" s="4"/>
      <c r="K610" s="4"/>
      <c r="L610" s="4"/>
      <c r="M610" s="4"/>
      <c r="N610" s="4"/>
      <c r="O610" s="6"/>
    </row>
    <row r="611" spans="2:15" s="46" customFormat="1">
      <c r="B611" s="3"/>
      <c r="C611" s="3"/>
      <c r="G611" s="4"/>
      <c r="H611" s="4"/>
      <c r="I611" s="4"/>
      <c r="J611" s="4"/>
      <c r="K611" s="4"/>
      <c r="L611" s="4"/>
      <c r="M611" s="4"/>
      <c r="N611" s="4"/>
      <c r="O611" s="6"/>
    </row>
    <row r="612" spans="2:15" s="46" customFormat="1">
      <c r="B612" s="3"/>
      <c r="C612" s="3"/>
      <c r="G612" s="4"/>
      <c r="H612" s="4"/>
      <c r="I612" s="4"/>
      <c r="J612" s="4"/>
      <c r="K612" s="4"/>
      <c r="L612" s="4"/>
      <c r="M612" s="4"/>
      <c r="N612" s="4"/>
      <c r="O612" s="6"/>
    </row>
    <row r="613" spans="2:15" s="46" customFormat="1">
      <c r="B613" s="3"/>
      <c r="C613" s="3"/>
      <c r="G613" s="4"/>
      <c r="H613" s="4"/>
      <c r="I613" s="4"/>
      <c r="J613" s="4"/>
      <c r="K613" s="4"/>
      <c r="L613" s="4"/>
      <c r="M613" s="4"/>
      <c r="N613" s="4"/>
      <c r="O613" s="6"/>
    </row>
    <row r="614" spans="2:15" s="46" customFormat="1">
      <c r="B614" s="3"/>
      <c r="C614" s="3"/>
      <c r="G614" s="4"/>
      <c r="H614" s="4"/>
      <c r="I614" s="4"/>
      <c r="J614" s="4"/>
      <c r="K614" s="4"/>
      <c r="L614" s="4"/>
      <c r="M614" s="4"/>
      <c r="N614" s="4"/>
      <c r="O614" s="6"/>
    </row>
    <row r="615" spans="2:15" s="46" customFormat="1">
      <c r="B615" s="3"/>
      <c r="C615" s="3"/>
      <c r="G615" s="4"/>
      <c r="H615" s="4"/>
      <c r="I615" s="4"/>
      <c r="J615" s="4"/>
      <c r="K615" s="4"/>
      <c r="L615" s="4"/>
      <c r="M615" s="4"/>
      <c r="N615" s="4"/>
      <c r="O615" s="6"/>
    </row>
    <row r="616" spans="2:15" s="46" customFormat="1">
      <c r="B616" s="3"/>
      <c r="C616" s="3"/>
      <c r="G616" s="4"/>
      <c r="H616" s="4"/>
      <c r="I616" s="4"/>
      <c r="J616" s="4"/>
      <c r="K616" s="4"/>
      <c r="L616" s="4"/>
      <c r="M616" s="4"/>
      <c r="N616" s="4"/>
      <c r="O616" s="6"/>
    </row>
    <row r="617" spans="2:15" s="46" customFormat="1">
      <c r="B617" s="3"/>
      <c r="C617" s="3"/>
      <c r="G617" s="4"/>
      <c r="H617" s="4"/>
      <c r="I617" s="4"/>
      <c r="J617" s="4"/>
      <c r="K617" s="4"/>
      <c r="L617" s="4"/>
      <c r="M617" s="4"/>
      <c r="N617" s="4"/>
      <c r="O617" s="6"/>
    </row>
    <row r="618" spans="2:15" s="46" customFormat="1">
      <c r="B618" s="3"/>
      <c r="C618" s="3"/>
      <c r="G618" s="4"/>
      <c r="H618" s="4"/>
      <c r="I618" s="4"/>
      <c r="J618" s="4"/>
      <c r="K618" s="4"/>
      <c r="L618" s="4"/>
      <c r="M618" s="4"/>
      <c r="N618" s="4"/>
      <c r="O618" s="6"/>
    </row>
    <row r="619" spans="2:15" s="46" customFormat="1">
      <c r="B619" s="3"/>
      <c r="C619" s="3"/>
      <c r="G619" s="4"/>
      <c r="H619" s="4"/>
      <c r="I619" s="4"/>
      <c r="J619" s="4"/>
      <c r="K619" s="4"/>
      <c r="L619" s="4"/>
      <c r="M619" s="4"/>
      <c r="N619" s="4"/>
      <c r="O619" s="6"/>
    </row>
    <row r="620" spans="2:15" s="46" customFormat="1">
      <c r="B620" s="3"/>
      <c r="C620" s="3"/>
      <c r="G620" s="4"/>
      <c r="H620" s="4"/>
      <c r="I620" s="4"/>
      <c r="J620" s="4"/>
      <c r="K620" s="4"/>
      <c r="L620" s="4"/>
      <c r="M620" s="4"/>
      <c r="N620" s="4"/>
      <c r="O620" s="6"/>
    </row>
    <row r="621" spans="2:15" s="46" customFormat="1">
      <c r="B621" s="3"/>
      <c r="C621" s="3"/>
      <c r="G621" s="4"/>
      <c r="H621" s="4"/>
      <c r="I621" s="4"/>
      <c r="J621" s="4"/>
      <c r="K621" s="4"/>
      <c r="L621" s="4"/>
      <c r="M621" s="4"/>
      <c r="N621" s="4"/>
      <c r="O621" s="6"/>
    </row>
    <row r="622" spans="2:15" s="46" customFormat="1">
      <c r="B622" s="3"/>
      <c r="C622" s="3"/>
      <c r="G622" s="4"/>
      <c r="H622" s="4"/>
      <c r="I622" s="4"/>
      <c r="J622" s="4"/>
      <c r="K622" s="4"/>
      <c r="L622" s="4"/>
      <c r="M622" s="4"/>
      <c r="N622" s="4"/>
      <c r="O622" s="6"/>
    </row>
    <row r="623" spans="2:15" s="46" customFormat="1">
      <c r="B623" s="3"/>
      <c r="C623" s="3"/>
      <c r="G623" s="4"/>
      <c r="H623" s="4"/>
      <c r="I623" s="4"/>
      <c r="J623" s="4"/>
      <c r="K623" s="4"/>
      <c r="L623" s="4"/>
      <c r="M623" s="4"/>
      <c r="N623" s="4"/>
      <c r="O623" s="6"/>
    </row>
    <row r="624" spans="2:15" s="46" customFormat="1">
      <c r="B624" s="3"/>
      <c r="C624" s="3"/>
      <c r="G624" s="4"/>
      <c r="H624" s="4"/>
      <c r="I624" s="4"/>
      <c r="J624" s="4"/>
      <c r="K624" s="4"/>
      <c r="L624" s="4"/>
      <c r="M624" s="4"/>
      <c r="N624" s="4"/>
      <c r="O624" s="6"/>
    </row>
    <row r="625" spans="2:15" s="46" customFormat="1">
      <c r="B625" s="3"/>
      <c r="C625" s="3"/>
      <c r="G625" s="4"/>
      <c r="H625" s="4"/>
      <c r="I625" s="4"/>
      <c r="J625" s="4"/>
      <c r="K625" s="4"/>
      <c r="L625" s="4"/>
      <c r="M625" s="4"/>
      <c r="N625" s="4"/>
      <c r="O625" s="6"/>
    </row>
    <row r="626" spans="2:15" s="46" customFormat="1">
      <c r="B626" s="3"/>
      <c r="C626" s="3"/>
      <c r="G626" s="4"/>
      <c r="H626" s="4"/>
      <c r="I626" s="4"/>
      <c r="J626" s="4"/>
      <c r="K626" s="4"/>
      <c r="L626" s="4"/>
      <c r="M626" s="4"/>
      <c r="N626" s="4"/>
      <c r="O626" s="6"/>
    </row>
    <row r="627" spans="2:15" s="46" customFormat="1">
      <c r="B627" s="3"/>
      <c r="C627" s="3"/>
      <c r="G627" s="4"/>
      <c r="H627" s="4"/>
      <c r="I627" s="4"/>
      <c r="J627" s="4"/>
      <c r="K627" s="4"/>
      <c r="L627" s="4"/>
      <c r="M627" s="4"/>
      <c r="N627" s="4"/>
      <c r="O627" s="6"/>
    </row>
    <row r="628" spans="2:15" s="46" customFormat="1">
      <c r="B628" s="3"/>
      <c r="C628" s="3"/>
      <c r="G628" s="4"/>
      <c r="H628" s="4"/>
      <c r="I628" s="4"/>
      <c r="J628" s="4"/>
      <c r="K628" s="4"/>
      <c r="L628" s="4"/>
      <c r="M628" s="4"/>
      <c r="N628" s="4"/>
      <c r="O628" s="6"/>
    </row>
    <row r="629" spans="2:15" s="46" customFormat="1">
      <c r="B629" s="3"/>
      <c r="C629" s="3"/>
      <c r="G629" s="4"/>
      <c r="H629" s="4"/>
      <c r="I629" s="4"/>
      <c r="J629" s="4"/>
      <c r="K629" s="4"/>
      <c r="L629" s="4"/>
      <c r="M629" s="4"/>
      <c r="N629" s="4"/>
      <c r="O629" s="6"/>
    </row>
    <row r="630" spans="2:15" s="46" customFormat="1">
      <c r="B630" s="3"/>
      <c r="C630" s="3"/>
      <c r="G630" s="4"/>
      <c r="H630" s="4"/>
      <c r="I630" s="4"/>
      <c r="J630" s="4"/>
      <c r="K630" s="4"/>
      <c r="L630" s="4"/>
      <c r="M630" s="4"/>
      <c r="N630" s="4"/>
      <c r="O630" s="6"/>
    </row>
    <row r="631" spans="2:15" s="46" customFormat="1">
      <c r="B631" s="3"/>
      <c r="C631" s="3"/>
      <c r="G631" s="4"/>
      <c r="H631" s="4"/>
      <c r="I631" s="4"/>
      <c r="J631" s="4"/>
      <c r="K631" s="4"/>
      <c r="L631" s="4"/>
      <c r="M631" s="4"/>
      <c r="N631" s="4"/>
      <c r="O631" s="6"/>
    </row>
    <row r="632" spans="2:15" s="46" customFormat="1">
      <c r="B632" s="3"/>
      <c r="C632" s="3"/>
      <c r="G632" s="4"/>
      <c r="H632" s="4"/>
      <c r="I632" s="4"/>
      <c r="J632" s="4"/>
      <c r="K632" s="4"/>
      <c r="L632" s="4"/>
      <c r="M632" s="4"/>
      <c r="N632" s="4"/>
      <c r="O632" s="6"/>
    </row>
    <row r="633" spans="2:15" s="46" customFormat="1">
      <c r="B633" s="3"/>
      <c r="C633" s="3"/>
      <c r="G633" s="4"/>
      <c r="H633" s="4"/>
      <c r="I633" s="4"/>
      <c r="J633" s="4"/>
      <c r="K633" s="4"/>
      <c r="L633" s="4"/>
      <c r="M633" s="4"/>
      <c r="N633" s="4"/>
      <c r="O633" s="6"/>
    </row>
    <row r="634" spans="2:15" s="46" customFormat="1">
      <c r="B634" s="3"/>
      <c r="C634" s="3"/>
      <c r="G634" s="4"/>
      <c r="H634" s="4"/>
      <c r="I634" s="4"/>
      <c r="J634" s="4"/>
      <c r="K634" s="4"/>
      <c r="L634" s="4"/>
      <c r="M634" s="4"/>
      <c r="N634" s="4"/>
      <c r="O634" s="6"/>
    </row>
    <row r="635" spans="2:15" s="46" customFormat="1">
      <c r="B635" s="3"/>
      <c r="C635" s="3"/>
      <c r="G635" s="4"/>
      <c r="H635" s="4"/>
      <c r="I635" s="4"/>
      <c r="J635" s="4"/>
      <c r="K635" s="4"/>
      <c r="L635" s="4"/>
      <c r="M635" s="4"/>
      <c r="N635" s="4"/>
      <c r="O635" s="6"/>
    </row>
    <row r="636" spans="2:15" s="46" customFormat="1">
      <c r="B636" s="3"/>
      <c r="C636" s="3"/>
      <c r="G636" s="4"/>
      <c r="H636" s="4"/>
      <c r="I636" s="4"/>
      <c r="J636" s="4"/>
      <c r="K636" s="4"/>
      <c r="L636" s="4"/>
      <c r="M636" s="4"/>
      <c r="N636" s="4"/>
      <c r="O636" s="6"/>
    </row>
    <row r="637" spans="2:15" s="46" customFormat="1">
      <c r="B637" s="3"/>
      <c r="C637" s="3"/>
      <c r="G637" s="4"/>
      <c r="H637" s="4"/>
      <c r="I637" s="4"/>
      <c r="J637" s="4"/>
      <c r="K637" s="4"/>
      <c r="L637" s="4"/>
      <c r="M637" s="4"/>
      <c r="N637" s="4"/>
      <c r="O637" s="6"/>
    </row>
    <row r="638" spans="2:15" s="46" customFormat="1">
      <c r="B638" s="3"/>
      <c r="C638" s="3"/>
      <c r="G638" s="4"/>
      <c r="H638" s="4"/>
      <c r="I638" s="4"/>
      <c r="J638" s="4"/>
      <c r="K638" s="4"/>
      <c r="L638" s="4"/>
      <c r="M638" s="4"/>
      <c r="N638" s="4"/>
      <c r="O638" s="6"/>
    </row>
    <row r="639" spans="2:15" s="46" customFormat="1">
      <c r="B639" s="3"/>
      <c r="C639" s="3"/>
      <c r="G639" s="4"/>
      <c r="H639" s="4"/>
      <c r="I639" s="4"/>
      <c r="J639" s="4"/>
      <c r="K639" s="4"/>
      <c r="L639" s="4"/>
      <c r="M639" s="4"/>
      <c r="N639" s="4"/>
      <c r="O639" s="6"/>
    </row>
    <row r="640" spans="2:15" s="46" customFormat="1">
      <c r="B640" s="3"/>
      <c r="C640" s="3"/>
      <c r="G640" s="4"/>
      <c r="H640" s="4"/>
      <c r="I640" s="4"/>
      <c r="J640" s="4"/>
      <c r="K640" s="4"/>
      <c r="L640" s="4"/>
      <c r="M640" s="4"/>
      <c r="N640" s="4"/>
      <c r="O640" s="6"/>
    </row>
    <row r="641" spans="2:15" s="46" customFormat="1">
      <c r="B641" s="3"/>
      <c r="C641" s="3"/>
      <c r="G641" s="4"/>
      <c r="H641" s="4"/>
      <c r="I641" s="4"/>
      <c r="J641" s="4"/>
      <c r="K641" s="4"/>
      <c r="L641" s="4"/>
      <c r="M641" s="4"/>
      <c r="N641" s="4"/>
      <c r="O641" s="6"/>
    </row>
    <row r="642" spans="2:15" s="46" customFormat="1">
      <c r="B642" s="3"/>
      <c r="C642" s="3"/>
      <c r="G642" s="4"/>
      <c r="H642" s="4"/>
      <c r="I642" s="4"/>
      <c r="J642" s="4"/>
      <c r="K642" s="4"/>
      <c r="L642" s="4"/>
      <c r="M642" s="4"/>
      <c r="N642" s="4"/>
      <c r="O642" s="6"/>
    </row>
    <row r="643" spans="2:15" s="46" customFormat="1">
      <c r="B643" s="3"/>
      <c r="C643" s="3"/>
      <c r="G643" s="4"/>
      <c r="H643" s="4"/>
      <c r="I643" s="4"/>
      <c r="J643" s="4"/>
      <c r="K643" s="4"/>
      <c r="L643" s="4"/>
      <c r="M643" s="4"/>
      <c r="N643" s="4"/>
      <c r="O643" s="6"/>
    </row>
    <row r="644" spans="2:15" s="46" customFormat="1">
      <c r="B644" s="3"/>
      <c r="C644" s="3"/>
      <c r="G644" s="4"/>
      <c r="H644" s="4"/>
      <c r="I644" s="4"/>
      <c r="J644" s="4"/>
      <c r="K644" s="4"/>
      <c r="L644" s="4"/>
      <c r="M644" s="4"/>
      <c r="N644" s="4"/>
      <c r="O644" s="6"/>
    </row>
    <row r="645" spans="2:15" s="46" customFormat="1">
      <c r="B645" s="3"/>
      <c r="C645" s="3"/>
      <c r="G645" s="4"/>
      <c r="H645" s="4"/>
      <c r="I645" s="4"/>
      <c r="J645" s="4"/>
      <c r="K645" s="4"/>
      <c r="L645" s="4"/>
      <c r="M645" s="4"/>
      <c r="N645" s="4"/>
      <c r="O645" s="6"/>
    </row>
    <row r="646" spans="2:15" s="46" customFormat="1">
      <c r="B646" s="3"/>
      <c r="C646" s="3"/>
      <c r="G646" s="4"/>
      <c r="H646" s="4"/>
      <c r="I646" s="4"/>
      <c r="J646" s="4"/>
      <c r="K646" s="4"/>
      <c r="L646" s="4"/>
      <c r="M646" s="4"/>
      <c r="N646" s="4"/>
      <c r="O646" s="6"/>
    </row>
    <row r="647" spans="2:15" s="46" customFormat="1">
      <c r="B647" s="3"/>
      <c r="C647" s="3"/>
      <c r="G647" s="4"/>
      <c r="H647" s="4"/>
      <c r="I647" s="4"/>
      <c r="J647" s="4"/>
      <c r="K647" s="4"/>
      <c r="L647" s="4"/>
      <c r="M647" s="4"/>
      <c r="N647" s="4"/>
      <c r="O647" s="6"/>
    </row>
    <row r="648" spans="2:15" s="46" customFormat="1">
      <c r="B648" s="3"/>
      <c r="C648" s="3"/>
      <c r="G648" s="4"/>
      <c r="H648" s="4"/>
      <c r="I648" s="4"/>
      <c r="J648" s="4"/>
      <c r="K648" s="4"/>
      <c r="L648" s="4"/>
      <c r="M648" s="4"/>
      <c r="N648" s="4"/>
      <c r="O648" s="6"/>
    </row>
    <row r="649" spans="2:15" s="46" customFormat="1">
      <c r="B649" s="3"/>
      <c r="C649" s="3"/>
      <c r="G649" s="4"/>
      <c r="H649" s="4"/>
      <c r="I649" s="4"/>
      <c r="J649" s="4"/>
      <c r="K649" s="4"/>
      <c r="L649" s="4"/>
      <c r="M649" s="4"/>
      <c r="N649" s="4"/>
      <c r="O649" s="6"/>
    </row>
    <row r="650" spans="2:15" s="46" customFormat="1">
      <c r="B650" s="3"/>
      <c r="C650" s="3"/>
      <c r="G650" s="4"/>
      <c r="H650" s="4"/>
      <c r="I650" s="4"/>
      <c r="J650" s="4"/>
      <c r="K650" s="4"/>
      <c r="L650" s="4"/>
      <c r="M650" s="4"/>
      <c r="N650" s="4"/>
      <c r="O650" s="6"/>
    </row>
    <row r="651" spans="2:15" s="46" customFormat="1">
      <c r="B651" s="3"/>
      <c r="C651" s="3"/>
      <c r="G651" s="4"/>
      <c r="H651" s="4"/>
      <c r="I651" s="4"/>
      <c r="J651" s="4"/>
      <c r="K651" s="4"/>
      <c r="L651" s="4"/>
      <c r="M651" s="4"/>
      <c r="N651" s="4"/>
      <c r="O651" s="6"/>
    </row>
    <row r="652" spans="2:15" s="46" customFormat="1">
      <c r="B652" s="3"/>
      <c r="C652" s="3"/>
      <c r="G652" s="4"/>
      <c r="H652" s="4"/>
      <c r="I652" s="4"/>
      <c r="J652" s="4"/>
      <c r="K652" s="4"/>
      <c r="L652" s="4"/>
      <c r="M652" s="4"/>
      <c r="N652" s="4"/>
      <c r="O652" s="6"/>
    </row>
    <row r="653" spans="2:15" s="46" customFormat="1">
      <c r="B653" s="3"/>
      <c r="C653" s="3"/>
      <c r="G653" s="4"/>
      <c r="H653" s="4"/>
      <c r="I653" s="4"/>
      <c r="J653" s="4"/>
      <c r="K653" s="4"/>
      <c r="L653" s="4"/>
      <c r="M653" s="4"/>
      <c r="N653" s="4"/>
      <c r="O653" s="6"/>
    </row>
    <row r="654" spans="2:15" s="46" customFormat="1">
      <c r="B654" s="3"/>
      <c r="C654" s="3"/>
      <c r="G654" s="4"/>
      <c r="H654" s="4"/>
      <c r="I654" s="4"/>
      <c r="J654" s="4"/>
      <c r="K654" s="4"/>
      <c r="L654" s="4"/>
      <c r="M654" s="4"/>
      <c r="N654" s="4"/>
      <c r="O654" s="6"/>
    </row>
    <row r="655" spans="2:15" s="46" customFormat="1">
      <c r="B655" s="3"/>
      <c r="C655" s="3"/>
      <c r="G655" s="4"/>
      <c r="H655" s="4"/>
      <c r="I655" s="4"/>
      <c r="J655" s="4"/>
      <c r="K655" s="4"/>
      <c r="L655" s="4"/>
      <c r="M655" s="4"/>
      <c r="N655" s="4"/>
      <c r="O655" s="6"/>
    </row>
    <row r="656" spans="2:15" s="46" customFormat="1">
      <c r="B656" s="3"/>
      <c r="C656" s="3"/>
      <c r="G656" s="4"/>
      <c r="H656" s="4"/>
      <c r="I656" s="4"/>
      <c r="J656" s="4"/>
      <c r="K656" s="4"/>
      <c r="L656" s="4"/>
      <c r="M656" s="4"/>
      <c r="N656" s="4"/>
      <c r="O656" s="6"/>
    </row>
    <row r="657" spans="2:15" s="46" customFormat="1">
      <c r="B657" s="3"/>
      <c r="C657" s="3"/>
      <c r="G657" s="4"/>
      <c r="H657" s="4"/>
      <c r="I657" s="4"/>
      <c r="J657" s="4"/>
      <c r="K657" s="4"/>
      <c r="L657" s="4"/>
      <c r="M657" s="4"/>
      <c r="N657" s="4"/>
      <c r="O657" s="6"/>
    </row>
    <row r="658" spans="2:15" s="46" customFormat="1">
      <c r="B658" s="3"/>
      <c r="C658" s="3"/>
      <c r="G658" s="4"/>
      <c r="H658" s="4"/>
      <c r="I658" s="4"/>
      <c r="J658" s="4"/>
      <c r="K658" s="4"/>
      <c r="L658" s="4"/>
      <c r="M658" s="4"/>
      <c r="N658" s="4"/>
      <c r="O658" s="6"/>
    </row>
    <row r="659" spans="2:15" s="46" customFormat="1">
      <c r="B659" s="3"/>
      <c r="C659" s="3"/>
      <c r="G659" s="4"/>
      <c r="H659" s="4"/>
      <c r="I659" s="4"/>
      <c r="J659" s="4"/>
      <c r="K659" s="4"/>
      <c r="L659" s="4"/>
      <c r="M659" s="4"/>
      <c r="N659" s="4"/>
      <c r="O659" s="6"/>
    </row>
    <row r="660" spans="2:15" s="46" customFormat="1">
      <c r="B660" s="3"/>
      <c r="C660" s="3"/>
      <c r="G660" s="4"/>
      <c r="H660" s="4"/>
      <c r="I660" s="4"/>
      <c r="J660" s="4"/>
      <c r="K660" s="4"/>
      <c r="L660" s="4"/>
      <c r="M660" s="4"/>
      <c r="N660" s="4"/>
      <c r="O660" s="6"/>
    </row>
    <row r="661" spans="2:15" s="46" customFormat="1">
      <c r="B661" s="3"/>
      <c r="C661" s="3"/>
      <c r="G661" s="4"/>
      <c r="H661" s="4"/>
      <c r="I661" s="4"/>
      <c r="J661" s="4"/>
      <c r="K661" s="4"/>
      <c r="L661" s="4"/>
      <c r="M661" s="4"/>
      <c r="N661" s="4"/>
      <c r="O661" s="6"/>
    </row>
    <row r="662" spans="2:15" s="46" customFormat="1">
      <c r="B662" s="3"/>
      <c r="C662" s="3"/>
      <c r="G662" s="4"/>
      <c r="H662" s="4"/>
      <c r="I662" s="4"/>
      <c r="J662" s="4"/>
      <c r="K662" s="4"/>
      <c r="L662" s="4"/>
      <c r="M662" s="4"/>
      <c r="N662" s="4"/>
      <c r="O662" s="6"/>
    </row>
    <row r="663" spans="2:15" s="46" customFormat="1">
      <c r="B663" s="3"/>
      <c r="C663" s="3"/>
      <c r="G663" s="4"/>
      <c r="H663" s="4"/>
      <c r="I663" s="4"/>
      <c r="J663" s="4"/>
      <c r="K663" s="4"/>
      <c r="L663" s="4"/>
      <c r="M663" s="4"/>
      <c r="N663" s="4"/>
      <c r="O663" s="6"/>
    </row>
    <row r="664" spans="2:15" s="46" customFormat="1">
      <c r="B664" s="3"/>
      <c r="C664" s="3"/>
      <c r="G664" s="4"/>
      <c r="H664" s="4"/>
      <c r="I664" s="4"/>
      <c r="J664" s="4"/>
      <c r="K664" s="4"/>
      <c r="L664" s="4"/>
      <c r="M664" s="4"/>
      <c r="N664" s="4"/>
      <c r="O664" s="6"/>
    </row>
    <row r="665" spans="2:15" s="46" customFormat="1">
      <c r="B665" s="3"/>
      <c r="C665" s="3"/>
      <c r="G665" s="4"/>
      <c r="H665" s="4"/>
      <c r="I665" s="4"/>
      <c r="J665" s="4"/>
      <c r="K665" s="4"/>
      <c r="L665" s="4"/>
      <c r="M665" s="4"/>
      <c r="N665" s="4"/>
      <c r="O665" s="6"/>
    </row>
    <row r="666" spans="2:15" s="46" customFormat="1">
      <c r="B666" s="3"/>
      <c r="C666" s="3"/>
      <c r="G666" s="4"/>
      <c r="H666" s="4"/>
      <c r="I666" s="4"/>
      <c r="J666" s="4"/>
      <c r="K666" s="4"/>
      <c r="L666" s="4"/>
      <c r="M666" s="4"/>
      <c r="N666" s="4"/>
      <c r="O666" s="6"/>
    </row>
    <row r="667" spans="2:15" s="46" customFormat="1">
      <c r="B667" s="3"/>
      <c r="C667" s="3"/>
      <c r="G667" s="4"/>
      <c r="H667" s="4"/>
      <c r="I667" s="4"/>
      <c r="J667" s="4"/>
      <c r="K667" s="4"/>
      <c r="L667" s="4"/>
      <c r="M667" s="4"/>
      <c r="N667" s="4"/>
      <c r="O667" s="6"/>
    </row>
    <row r="668" spans="2:15" s="46" customFormat="1">
      <c r="B668" s="3"/>
      <c r="C668" s="3"/>
      <c r="G668" s="4"/>
      <c r="H668" s="4"/>
      <c r="I668" s="4"/>
      <c r="J668" s="4"/>
      <c r="K668" s="4"/>
      <c r="L668" s="4"/>
      <c r="M668" s="4"/>
      <c r="N668" s="4"/>
      <c r="O668" s="6"/>
    </row>
    <row r="669" spans="2:15" s="46" customFormat="1">
      <c r="B669" s="3"/>
      <c r="C669" s="3"/>
      <c r="G669" s="4"/>
      <c r="H669" s="4"/>
      <c r="I669" s="4"/>
      <c r="J669" s="4"/>
      <c r="K669" s="4"/>
      <c r="L669" s="4"/>
      <c r="M669" s="4"/>
      <c r="N669" s="4"/>
      <c r="O669" s="6"/>
    </row>
    <row r="670" spans="2:15" s="46" customFormat="1">
      <c r="B670" s="3"/>
      <c r="C670" s="3"/>
      <c r="G670" s="4"/>
      <c r="H670" s="4"/>
      <c r="I670" s="4"/>
      <c r="J670" s="4"/>
      <c r="K670" s="4"/>
      <c r="L670" s="4"/>
      <c r="M670" s="4"/>
      <c r="N670" s="4"/>
      <c r="O670" s="6"/>
    </row>
    <row r="671" spans="2:15" s="46" customFormat="1">
      <c r="B671" s="3"/>
      <c r="C671" s="3"/>
      <c r="G671" s="4"/>
      <c r="H671" s="4"/>
      <c r="I671" s="4"/>
      <c r="J671" s="4"/>
      <c r="K671" s="4"/>
      <c r="L671" s="4"/>
      <c r="M671" s="4"/>
      <c r="N671" s="4"/>
      <c r="O671" s="6"/>
    </row>
    <row r="672" spans="2:15" s="46" customFormat="1">
      <c r="B672" s="3"/>
      <c r="C672" s="3"/>
      <c r="G672" s="4"/>
      <c r="H672" s="4"/>
      <c r="I672" s="4"/>
      <c r="J672" s="4"/>
      <c r="K672" s="4"/>
      <c r="L672" s="4"/>
      <c r="M672" s="4"/>
      <c r="N672" s="4"/>
      <c r="O672" s="6"/>
    </row>
    <row r="673" spans="2:15" s="46" customFormat="1">
      <c r="B673" s="3"/>
      <c r="C673" s="3"/>
      <c r="G673" s="4"/>
      <c r="H673" s="4"/>
      <c r="I673" s="4"/>
      <c r="J673" s="4"/>
      <c r="K673" s="4"/>
      <c r="L673" s="4"/>
      <c r="M673" s="4"/>
      <c r="N673" s="4"/>
      <c r="O673" s="6"/>
    </row>
    <row r="674" spans="2:15" s="46" customFormat="1">
      <c r="B674" s="3"/>
      <c r="C674" s="3"/>
      <c r="G674" s="4"/>
      <c r="H674" s="4"/>
      <c r="I674" s="4"/>
      <c r="J674" s="4"/>
      <c r="K674" s="4"/>
      <c r="L674" s="4"/>
      <c r="M674" s="4"/>
      <c r="N674" s="4"/>
      <c r="O674" s="6"/>
    </row>
    <row r="675" spans="2:15" s="46" customFormat="1">
      <c r="B675" s="3"/>
      <c r="C675" s="3"/>
      <c r="G675" s="4"/>
      <c r="H675" s="4"/>
      <c r="I675" s="4"/>
      <c r="J675" s="4"/>
      <c r="K675" s="4"/>
      <c r="L675" s="4"/>
      <c r="M675" s="4"/>
      <c r="N675" s="4"/>
      <c r="O675" s="6"/>
    </row>
    <row r="676" spans="2:15" s="46" customFormat="1">
      <c r="B676" s="3"/>
      <c r="C676" s="3"/>
      <c r="G676" s="4"/>
      <c r="H676" s="4"/>
      <c r="I676" s="4"/>
      <c r="J676" s="4"/>
      <c r="K676" s="4"/>
      <c r="L676" s="4"/>
      <c r="M676" s="4"/>
      <c r="N676" s="4"/>
      <c r="O676" s="6"/>
    </row>
    <row r="677" spans="2:15" s="46" customFormat="1">
      <c r="B677" s="3"/>
      <c r="C677" s="3"/>
      <c r="G677" s="4"/>
      <c r="H677" s="4"/>
      <c r="I677" s="4"/>
      <c r="J677" s="4"/>
      <c r="K677" s="4"/>
      <c r="L677" s="4"/>
      <c r="M677" s="4"/>
      <c r="N677" s="4"/>
      <c r="O677" s="6"/>
    </row>
    <row r="678" spans="2:15" s="46" customFormat="1">
      <c r="B678" s="3"/>
      <c r="C678" s="3"/>
      <c r="G678" s="4"/>
      <c r="H678" s="4"/>
      <c r="I678" s="4"/>
      <c r="J678" s="4"/>
      <c r="K678" s="4"/>
      <c r="L678" s="4"/>
      <c r="M678" s="4"/>
      <c r="N678" s="4"/>
      <c r="O678" s="6"/>
    </row>
    <row r="679" spans="2:15" s="46" customFormat="1">
      <c r="B679" s="3"/>
      <c r="C679" s="3"/>
      <c r="G679" s="4"/>
      <c r="H679" s="4"/>
      <c r="I679" s="4"/>
      <c r="J679" s="4"/>
      <c r="K679" s="4"/>
      <c r="L679" s="4"/>
      <c r="M679" s="4"/>
      <c r="N679" s="4"/>
      <c r="O679" s="6"/>
    </row>
    <row r="680" spans="2:15" s="46" customFormat="1">
      <c r="B680" s="3"/>
      <c r="C680" s="3"/>
      <c r="G680" s="4"/>
      <c r="H680" s="4"/>
      <c r="I680" s="4"/>
      <c r="J680" s="4"/>
      <c r="K680" s="4"/>
      <c r="L680" s="4"/>
      <c r="M680" s="4"/>
      <c r="N680" s="4"/>
      <c r="O680" s="6"/>
    </row>
    <row r="681" spans="2:15" s="46" customFormat="1">
      <c r="B681" s="3"/>
      <c r="C681" s="3"/>
      <c r="G681" s="4"/>
      <c r="H681" s="4"/>
      <c r="I681" s="4"/>
      <c r="J681" s="4"/>
      <c r="K681" s="4"/>
      <c r="L681" s="4"/>
      <c r="M681" s="4"/>
      <c r="N681" s="4"/>
      <c r="O681" s="6"/>
    </row>
    <row r="682" spans="2:15" s="46" customFormat="1">
      <c r="B682" s="3"/>
      <c r="C682" s="3"/>
      <c r="G682" s="4"/>
      <c r="H682" s="4"/>
      <c r="I682" s="4"/>
      <c r="J682" s="4"/>
      <c r="K682" s="4"/>
      <c r="L682" s="4"/>
      <c r="M682" s="4"/>
      <c r="N682" s="4"/>
      <c r="O682" s="6"/>
    </row>
    <row r="683" spans="2:15" s="46" customFormat="1">
      <c r="B683" s="3"/>
      <c r="C683" s="3"/>
      <c r="G683" s="4"/>
      <c r="H683" s="4"/>
      <c r="I683" s="4"/>
      <c r="J683" s="4"/>
      <c r="K683" s="4"/>
      <c r="L683" s="4"/>
      <c r="M683" s="4"/>
      <c r="N683" s="4"/>
      <c r="O683" s="6"/>
    </row>
    <row r="684" spans="2:15" s="46" customFormat="1">
      <c r="B684" s="3"/>
      <c r="C684" s="3"/>
      <c r="G684" s="4"/>
      <c r="H684" s="4"/>
      <c r="I684" s="4"/>
      <c r="J684" s="4"/>
      <c r="K684" s="4"/>
      <c r="L684" s="4"/>
      <c r="M684" s="4"/>
      <c r="N684" s="4"/>
      <c r="O684" s="6"/>
    </row>
    <row r="685" spans="2:15" s="46" customFormat="1">
      <c r="B685" s="3"/>
      <c r="C685" s="3"/>
      <c r="G685" s="4"/>
      <c r="H685" s="4"/>
      <c r="I685" s="4"/>
      <c r="J685" s="4"/>
      <c r="K685" s="4"/>
      <c r="L685" s="4"/>
      <c r="M685" s="4"/>
      <c r="N685" s="4"/>
      <c r="O685" s="6"/>
    </row>
    <row r="686" spans="2:15" s="46" customFormat="1">
      <c r="B686" s="3"/>
      <c r="C686" s="3"/>
      <c r="G686" s="4"/>
      <c r="H686" s="4"/>
      <c r="I686" s="4"/>
      <c r="J686" s="4"/>
      <c r="K686" s="4"/>
      <c r="L686" s="4"/>
      <c r="M686" s="4"/>
      <c r="N686" s="4"/>
      <c r="O686" s="6"/>
    </row>
    <row r="687" spans="2:15" s="46" customFormat="1">
      <c r="B687" s="3"/>
      <c r="C687" s="3"/>
      <c r="G687" s="4"/>
      <c r="H687" s="4"/>
      <c r="I687" s="4"/>
      <c r="J687" s="4"/>
      <c r="K687" s="4"/>
      <c r="L687" s="4"/>
      <c r="M687" s="4"/>
      <c r="N687" s="4"/>
      <c r="O687" s="6"/>
    </row>
    <row r="688" spans="2:15" s="46" customFormat="1">
      <c r="B688" s="3"/>
      <c r="C688" s="3"/>
      <c r="G688" s="4"/>
      <c r="H688" s="4"/>
      <c r="I688" s="4"/>
      <c r="J688" s="4"/>
      <c r="K688" s="4"/>
      <c r="L688" s="4"/>
      <c r="M688" s="4"/>
      <c r="N688" s="4"/>
      <c r="O688" s="6"/>
    </row>
    <row r="689" spans="2:15" s="46" customFormat="1">
      <c r="B689" s="3"/>
      <c r="C689" s="3"/>
      <c r="G689" s="4"/>
      <c r="H689" s="4"/>
      <c r="I689" s="4"/>
      <c r="J689" s="4"/>
      <c r="K689" s="4"/>
      <c r="L689" s="4"/>
      <c r="M689" s="4"/>
      <c r="N689" s="4"/>
      <c r="O689" s="6"/>
    </row>
    <row r="690" spans="2:15" s="46" customFormat="1">
      <c r="B690" s="3"/>
      <c r="C690" s="3"/>
      <c r="G690" s="4"/>
      <c r="H690" s="4"/>
      <c r="I690" s="4"/>
      <c r="J690" s="4"/>
      <c r="K690" s="4"/>
      <c r="L690" s="4"/>
      <c r="M690" s="4"/>
      <c r="N690" s="4"/>
      <c r="O690" s="6"/>
    </row>
    <row r="691" spans="2:15" s="46" customFormat="1">
      <c r="B691" s="3"/>
      <c r="C691" s="3"/>
      <c r="G691" s="4"/>
      <c r="H691" s="4"/>
      <c r="I691" s="4"/>
      <c r="J691" s="4"/>
      <c r="K691" s="4"/>
      <c r="L691" s="4"/>
      <c r="M691" s="4"/>
      <c r="N691" s="4"/>
      <c r="O691" s="6"/>
    </row>
    <row r="692" spans="2:15" s="46" customFormat="1">
      <c r="B692" s="3"/>
      <c r="C692" s="3"/>
      <c r="G692" s="4"/>
      <c r="H692" s="4"/>
      <c r="I692" s="4"/>
      <c r="J692" s="4"/>
      <c r="K692" s="4"/>
      <c r="L692" s="4"/>
      <c r="M692" s="4"/>
      <c r="N692" s="4"/>
      <c r="O692" s="6"/>
    </row>
    <row r="693" spans="2:15" s="46" customFormat="1">
      <c r="B693" s="3"/>
      <c r="C693" s="3"/>
      <c r="G693" s="4"/>
      <c r="H693" s="4"/>
      <c r="I693" s="4"/>
      <c r="J693" s="4"/>
      <c r="K693" s="4"/>
      <c r="L693" s="4"/>
      <c r="M693" s="4"/>
      <c r="N693" s="4"/>
      <c r="O693" s="6"/>
    </row>
    <row r="694" spans="2:15" s="46" customFormat="1">
      <c r="B694" s="3"/>
      <c r="C694" s="3"/>
      <c r="G694" s="4"/>
      <c r="H694" s="4"/>
      <c r="I694" s="4"/>
      <c r="J694" s="4"/>
      <c r="K694" s="4"/>
      <c r="L694" s="4"/>
      <c r="M694" s="4"/>
      <c r="N694" s="4"/>
      <c r="O694" s="6"/>
    </row>
    <row r="695" spans="2:15" s="46" customFormat="1">
      <c r="B695" s="3"/>
      <c r="C695" s="3"/>
      <c r="G695" s="4"/>
      <c r="H695" s="4"/>
      <c r="I695" s="4"/>
      <c r="J695" s="4"/>
      <c r="K695" s="4"/>
      <c r="L695" s="4"/>
      <c r="M695" s="4"/>
      <c r="N695" s="4"/>
      <c r="O695" s="6"/>
    </row>
    <row r="696" spans="2:15" s="46" customFormat="1">
      <c r="B696" s="3"/>
      <c r="C696" s="3"/>
      <c r="G696" s="4"/>
      <c r="H696" s="4"/>
      <c r="I696" s="4"/>
      <c r="J696" s="4"/>
      <c r="K696" s="4"/>
      <c r="L696" s="4"/>
      <c r="M696" s="4"/>
      <c r="N696" s="4"/>
      <c r="O696" s="6"/>
    </row>
    <row r="697" spans="2:15" s="46" customFormat="1">
      <c r="B697" s="3"/>
      <c r="C697" s="3"/>
      <c r="G697" s="4"/>
      <c r="H697" s="4"/>
      <c r="I697" s="4"/>
      <c r="J697" s="4"/>
      <c r="K697" s="4"/>
      <c r="L697" s="4"/>
      <c r="M697" s="4"/>
      <c r="N697" s="4"/>
      <c r="O697" s="6"/>
    </row>
    <row r="698" spans="2:15" s="46" customFormat="1">
      <c r="B698" s="3"/>
      <c r="C698" s="3"/>
      <c r="G698" s="4"/>
      <c r="H698" s="4"/>
      <c r="I698" s="4"/>
      <c r="J698" s="4"/>
      <c r="K698" s="4"/>
      <c r="L698" s="4"/>
      <c r="M698" s="4"/>
      <c r="N698" s="4"/>
      <c r="O698" s="6"/>
    </row>
    <row r="699" spans="2:15" s="46" customFormat="1">
      <c r="B699" s="3"/>
      <c r="C699" s="3"/>
      <c r="G699" s="4"/>
      <c r="H699" s="4"/>
      <c r="I699" s="4"/>
      <c r="J699" s="4"/>
      <c r="K699" s="4"/>
      <c r="L699" s="4"/>
      <c r="M699" s="4"/>
      <c r="N699" s="4"/>
      <c r="O699" s="6"/>
    </row>
    <row r="700" spans="2:15" s="46" customFormat="1">
      <c r="B700" s="3"/>
      <c r="C700" s="3"/>
      <c r="G700" s="4"/>
      <c r="H700" s="4"/>
      <c r="I700" s="4"/>
      <c r="J700" s="4"/>
      <c r="K700" s="4"/>
      <c r="L700" s="4"/>
      <c r="M700" s="4"/>
      <c r="N700" s="4"/>
      <c r="O700" s="6"/>
    </row>
    <row r="701" spans="2:15" s="46" customFormat="1">
      <c r="B701" s="3"/>
      <c r="C701" s="3"/>
      <c r="G701" s="4"/>
      <c r="H701" s="4"/>
      <c r="I701" s="4"/>
      <c r="J701" s="4"/>
      <c r="K701" s="4"/>
      <c r="L701" s="4"/>
      <c r="M701" s="4"/>
      <c r="N701" s="4"/>
      <c r="O701" s="6"/>
    </row>
    <row r="702" spans="2:15" s="46" customFormat="1">
      <c r="B702" s="3"/>
      <c r="C702" s="3"/>
      <c r="G702" s="4"/>
      <c r="H702" s="4"/>
      <c r="I702" s="4"/>
      <c r="J702" s="4"/>
      <c r="K702" s="4"/>
      <c r="L702" s="4"/>
      <c r="M702" s="4"/>
      <c r="N702" s="4"/>
      <c r="O702" s="6"/>
    </row>
    <row r="703" spans="2:15" s="46" customFormat="1">
      <c r="B703" s="3"/>
      <c r="C703" s="3"/>
      <c r="G703" s="4"/>
      <c r="H703" s="4"/>
      <c r="I703" s="4"/>
      <c r="J703" s="4"/>
      <c r="K703" s="4"/>
      <c r="L703" s="4"/>
      <c r="M703" s="4"/>
      <c r="N703" s="4"/>
      <c r="O703" s="6"/>
    </row>
    <row r="704" spans="2:15" s="46" customFormat="1">
      <c r="B704" s="3"/>
      <c r="C704" s="3"/>
      <c r="G704" s="4"/>
      <c r="H704" s="4"/>
      <c r="I704" s="4"/>
      <c r="J704" s="4"/>
      <c r="K704" s="4"/>
      <c r="L704" s="4"/>
      <c r="M704" s="4"/>
      <c r="N704" s="4"/>
      <c r="O704" s="6"/>
    </row>
    <row r="705" spans="2:15" s="46" customFormat="1">
      <c r="B705" s="3"/>
      <c r="C705" s="3"/>
      <c r="G705" s="4"/>
      <c r="H705" s="4"/>
      <c r="I705" s="4"/>
      <c r="J705" s="4"/>
      <c r="K705" s="4"/>
      <c r="L705" s="4"/>
      <c r="M705" s="4"/>
      <c r="N705" s="4"/>
      <c r="O705" s="6"/>
    </row>
    <row r="706" spans="2:15" s="46" customFormat="1">
      <c r="B706" s="3"/>
      <c r="C706" s="3"/>
      <c r="G706" s="4"/>
      <c r="H706" s="4"/>
      <c r="I706" s="4"/>
      <c r="J706" s="4"/>
      <c r="K706" s="4"/>
      <c r="L706" s="4"/>
      <c r="M706" s="4"/>
      <c r="N706" s="4"/>
      <c r="O706" s="6"/>
    </row>
    <row r="707" spans="2:15" s="46" customFormat="1">
      <c r="B707" s="3"/>
      <c r="C707" s="3"/>
      <c r="G707" s="4"/>
      <c r="H707" s="4"/>
      <c r="I707" s="4"/>
      <c r="J707" s="4"/>
      <c r="K707" s="4"/>
      <c r="L707" s="4"/>
      <c r="M707" s="4"/>
      <c r="N707" s="4"/>
      <c r="O707" s="6"/>
    </row>
    <row r="708" spans="2:15" s="46" customFormat="1">
      <c r="B708" s="3"/>
      <c r="C708" s="3"/>
      <c r="G708" s="4"/>
      <c r="H708" s="4"/>
      <c r="I708" s="4"/>
      <c r="J708" s="4"/>
      <c r="K708" s="4"/>
      <c r="L708" s="4"/>
      <c r="M708" s="4"/>
      <c r="N708" s="4"/>
      <c r="O708" s="6"/>
    </row>
    <row r="709" spans="2:15" s="46" customFormat="1">
      <c r="B709" s="3"/>
      <c r="C709" s="3"/>
      <c r="G709" s="4"/>
      <c r="H709" s="4"/>
      <c r="I709" s="4"/>
      <c r="J709" s="4"/>
      <c r="K709" s="4"/>
      <c r="L709" s="4"/>
      <c r="M709" s="4"/>
      <c r="N709" s="4"/>
      <c r="O709" s="6"/>
    </row>
    <row r="710" spans="2:15" s="46" customFormat="1">
      <c r="B710" s="3"/>
      <c r="C710" s="3"/>
      <c r="G710" s="4"/>
      <c r="H710" s="4"/>
      <c r="I710" s="4"/>
      <c r="J710" s="4"/>
      <c r="K710" s="4"/>
      <c r="L710" s="4"/>
      <c r="M710" s="4"/>
      <c r="N710" s="4"/>
      <c r="O710" s="6"/>
    </row>
    <row r="711" spans="2:15" s="46" customFormat="1">
      <c r="B711" s="3"/>
      <c r="C711" s="3"/>
      <c r="G711" s="4"/>
      <c r="H711" s="4"/>
      <c r="I711" s="4"/>
      <c r="J711" s="4"/>
      <c r="K711" s="4"/>
      <c r="L711" s="4"/>
      <c r="M711" s="4"/>
      <c r="N711" s="4"/>
      <c r="O711" s="6"/>
    </row>
    <row r="712" spans="2:15" s="46" customFormat="1">
      <c r="B712" s="3"/>
      <c r="C712" s="3"/>
      <c r="G712" s="4"/>
      <c r="H712" s="4"/>
      <c r="I712" s="4"/>
      <c r="J712" s="4"/>
      <c r="K712" s="4"/>
      <c r="L712" s="4"/>
      <c r="M712" s="4"/>
      <c r="N712" s="4"/>
      <c r="O712" s="6"/>
    </row>
    <row r="713" spans="2:15" s="46" customFormat="1">
      <c r="B713" s="3"/>
      <c r="C713" s="3"/>
      <c r="G713" s="4"/>
      <c r="H713" s="4"/>
      <c r="I713" s="4"/>
      <c r="J713" s="4"/>
      <c r="K713" s="4"/>
      <c r="L713" s="4"/>
      <c r="M713" s="4"/>
      <c r="N713" s="4"/>
      <c r="O713" s="6"/>
    </row>
    <row r="714" spans="2:15" s="46" customFormat="1">
      <c r="B714" s="3"/>
      <c r="C714" s="3"/>
      <c r="G714" s="4"/>
      <c r="H714" s="4"/>
      <c r="I714" s="4"/>
      <c r="J714" s="4"/>
      <c r="K714" s="4"/>
      <c r="L714" s="4"/>
      <c r="M714" s="4"/>
      <c r="N714" s="4"/>
      <c r="O714" s="6"/>
    </row>
    <row r="715" spans="2:15" s="46" customFormat="1">
      <c r="B715" s="3"/>
      <c r="C715" s="3"/>
      <c r="G715" s="4"/>
      <c r="H715" s="4"/>
      <c r="I715" s="4"/>
      <c r="J715" s="4"/>
      <c r="K715" s="4"/>
      <c r="L715" s="4"/>
      <c r="M715" s="4"/>
      <c r="N715" s="4"/>
      <c r="O715" s="6"/>
    </row>
    <row r="716" spans="2:15" s="46" customFormat="1">
      <c r="B716" s="3"/>
      <c r="C716" s="3"/>
      <c r="G716" s="4"/>
      <c r="H716" s="4"/>
      <c r="I716" s="4"/>
      <c r="J716" s="4"/>
      <c r="K716" s="4"/>
      <c r="L716" s="4"/>
      <c r="M716" s="4"/>
      <c r="N716" s="4"/>
      <c r="O716" s="6"/>
    </row>
    <row r="717" spans="2:15" s="46" customFormat="1">
      <c r="B717" s="3"/>
      <c r="C717" s="3"/>
      <c r="G717" s="4"/>
      <c r="H717" s="4"/>
      <c r="I717" s="4"/>
      <c r="J717" s="4"/>
      <c r="K717" s="4"/>
      <c r="L717" s="4"/>
      <c r="M717" s="4"/>
      <c r="N717" s="4"/>
      <c r="O717" s="6"/>
    </row>
    <row r="718" spans="2:15" s="46" customFormat="1">
      <c r="B718" s="3"/>
      <c r="C718" s="3"/>
      <c r="G718" s="4"/>
      <c r="H718" s="4"/>
      <c r="I718" s="4"/>
      <c r="J718" s="4"/>
      <c r="K718" s="4"/>
      <c r="L718" s="4"/>
      <c r="M718" s="4"/>
      <c r="N718" s="4"/>
      <c r="O718" s="6"/>
    </row>
    <row r="719" spans="2:15" s="46" customFormat="1">
      <c r="B719" s="3"/>
      <c r="C719" s="3"/>
      <c r="G719" s="4"/>
      <c r="H719" s="4"/>
      <c r="I719" s="4"/>
      <c r="J719" s="4"/>
      <c r="K719" s="4"/>
      <c r="L719" s="4"/>
      <c r="M719" s="4"/>
      <c r="N719" s="4"/>
      <c r="O719" s="6"/>
    </row>
    <row r="720" spans="2:15" s="46" customFormat="1">
      <c r="B720" s="3"/>
      <c r="C720" s="3"/>
      <c r="G720" s="4"/>
      <c r="H720" s="4"/>
      <c r="I720" s="4"/>
      <c r="J720" s="4"/>
      <c r="K720" s="4"/>
      <c r="L720" s="4"/>
      <c r="M720" s="4"/>
      <c r="N720" s="4"/>
      <c r="O720" s="6"/>
    </row>
    <row r="721" spans="2:15" s="46" customFormat="1">
      <c r="B721" s="3"/>
      <c r="C721" s="3"/>
      <c r="G721" s="4"/>
      <c r="H721" s="4"/>
      <c r="I721" s="4"/>
      <c r="J721" s="4"/>
      <c r="K721" s="4"/>
      <c r="L721" s="4"/>
      <c r="M721" s="4"/>
      <c r="N721" s="4"/>
      <c r="O721" s="6"/>
    </row>
    <row r="722" spans="2:15" s="46" customFormat="1">
      <c r="B722" s="3"/>
      <c r="C722" s="3"/>
      <c r="G722" s="4"/>
      <c r="H722" s="4"/>
      <c r="I722" s="4"/>
      <c r="J722" s="4"/>
      <c r="K722" s="4"/>
      <c r="L722" s="4"/>
      <c r="M722" s="4"/>
      <c r="N722" s="4"/>
      <c r="O722" s="6"/>
    </row>
    <row r="723" spans="2:15" s="46" customFormat="1">
      <c r="B723" s="3"/>
      <c r="C723" s="3"/>
      <c r="G723" s="4"/>
      <c r="H723" s="4"/>
      <c r="I723" s="4"/>
      <c r="J723" s="4"/>
      <c r="K723" s="4"/>
      <c r="L723" s="4"/>
      <c r="M723" s="4"/>
      <c r="N723" s="4"/>
      <c r="O723" s="6"/>
    </row>
    <row r="724" spans="2:15" s="46" customFormat="1">
      <c r="B724" s="3"/>
      <c r="C724" s="3"/>
      <c r="G724" s="4"/>
      <c r="H724" s="4"/>
      <c r="I724" s="4"/>
      <c r="J724" s="4"/>
      <c r="K724" s="4"/>
      <c r="L724" s="4"/>
      <c r="M724" s="4"/>
      <c r="N724" s="4"/>
      <c r="O724" s="6"/>
    </row>
    <row r="725" spans="2:15" s="46" customFormat="1">
      <c r="B725" s="3"/>
      <c r="C725" s="3"/>
      <c r="G725" s="4"/>
      <c r="H725" s="4"/>
      <c r="I725" s="4"/>
      <c r="J725" s="4"/>
      <c r="K725" s="4"/>
      <c r="L725" s="4"/>
      <c r="M725" s="4"/>
      <c r="N725" s="4"/>
      <c r="O725" s="6"/>
    </row>
    <row r="726" spans="2:15" s="46" customFormat="1">
      <c r="B726" s="3"/>
      <c r="C726" s="3"/>
      <c r="G726" s="4"/>
      <c r="H726" s="4"/>
      <c r="I726" s="4"/>
      <c r="J726" s="4"/>
      <c r="K726" s="4"/>
      <c r="L726" s="4"/>
      <c r="M726" s="4"/>
      <c r="N726" s="4"/>
      <c r="O726" s="6"/>
    </row>
    <row r="727" spans="2:15" s="46" customFormat="1">
      <c r="B727" s="3"/>
      <c r="C727" s="3"/>
      <c r="G727" s="4"/>
      <c r="H727" s="4"/>
      <c r="I727" s="4"/>
      <c r="J727" s="4"/>
      <c r="K727" s="4"/>
      <c r="L727" s="4"/>
      <c r="M727" s="4"/>
      <c r="N727" s="4"/>
      <c r="O727" s="6"/>
    </row>
    <row r="728" spans="2:15" s="46" customFormat="1">
      <c r="B728" s="3"/>
      <c r="C728" s="3"/>
      <c r="G728" s="4"/>
      <c r="H728" s="4"/>
      <c r="I728" s="4"/>
      <c r="J728" s="4"/>
      <c r="K728" s="4"/>
      <c r="L728" s="4"/>
      <c r="M728" s="4"/>
      <c r="N728" s="4"/>
      <c r="O728" s="6"/>
    </row>
    <row r="729" spans="2:15" s="46" customFormat="1">
      <c r="B729" s="3"/>
      <c r="C729" s="3"/>
      <c r="G729" s="4"/>
      <c r="H729" s="4"/>
      <c r="I729" s="4"/>
      <c r="J729" s="4"/>
      <c r="K729" s="4"/>
      <c r="L729" s="4"/>
      <c r="M729" s="4"/>
      <c r="N729" s="4"/>
      <c r="O729" s="6"/>
    </row>
    <row r="730" spans="2:15" s="46" customFormat="1">
      <c r="B730" s="3"/>
      <c r="C730" s="3"/>
      <c r="G730" s="4"/>
      <c r="H730" s="4"/>
      <c r="I730" s="4"/>
      <c r="J730" s="4"/>
      <c r="K730" s="4"/>
      <c r="L730" s="4"/>
      <c r="M730" s="4"/>
      <c r="N730" s="4"/>
      <c r="O730" s="6"/>
    </row>
    <row r="731" spans="2:15" s="46" customFormat="1">
      <c r="B731" s="3"/>
      <c r="C731" s="3"/>
      <c r="G731" s="4"/>
      <c r="H731" s="4"/>
      <c r="I731" s="4"/>
      <c r="J731" s="4"/>
      <c r="K731" s="4"/>
      <c r="L731" s="4"/>
      <c r="M731" s="4"/>
      <c r="N731" s="4"/>
      <c r="O731" s="6"/>
    </row>
    <row r="732" spans="2:15" s="46" customFormat="1">
      <c r="B732" s="3"/>
      <c r="C732" s="3"/>
      <c r="G732" s="4"/>
      <c r="H732" s="4"/>
      <c r="I732" s="4"/>
      <c r="J732" s="4"/>
      <c r="K732" s="4"/>
      <c r="L732" s="4"/>
      <c r="M732" s="4"/>
      <c r="N732" s="4"/>
      <c r="O732" s="6"/>
    </row>
    <row r="733" spans="2:15" s="46" customFormat="1">
      <c r="B733" s="3"/>
      <c r="C733" s="3"/>
      <c r="G733" s="4"/>
      <c r="H733" s="4"/>
      <c r="I733" s="4"/>
      <c r="J733" s="4"/>
      <c r="K733" s="4"/>
      <c r="L733" s="4"/>
      <c r="M733" s="4"/>
      <c r="N733" s="4"/>
      <c r="O733" s="6"/>
    </row>
    <row r="734" spans="2:15" s="46" customFormat="1">
      <c r="B734" s="3"/>
      <c r="C734" s="3"/>
      <c r="G734" s="4"/>
      <c r="H734" s="4"/>
      <c r="I734" s="4"/>
      <c r="J734" s="4"/>
      <c r="K734" s="4"/>
      <c r="L734" s="4"/>
      <c r="M734" s="4"/>
      <c r="N734" s="4"/>
      <c r="O734" s="6"/>
    </row>
    <row r="735" spans="2:15" s="46" customFormat="1">
      <c r="B735" s="3"/>
      <c r="C735" s="3"/>
      <c r="G735" s="4"/>
      <c r="H735" s="4"/>
      <c r="I735" s="4"/>
      <c r="J735" s="4"/>
      <c r="K735" s="4"/>
      <c r="L735" s="4"/>
      <c r="M735" s="4"/>
      <c r="N735" s="4"/>
      <c r="O735" s="6"/>
    </row>
    <row r="736" spans="2:15" s="46" customFormat="1">
      <c r="B736" s="3"/>
      <c r="C736" s="3"/>
      <c r="G736" s="4"/>
      <c r="H736" s="4"/>
      <c r="I736" s="4"/>
      <c r="J736" s="4"/>
      <c r="K736" s="4"/>
      <c r="L736" s="4"/>
      <c r="M736" s="4"/>
      <c r="N736" s="4"/>
      <c r="O736" s="6"/>
    </row>
    <row r="737" spans="2:15" s="46" customFormat="1">
      <c r="B737" s="3"/>
      <c r="C737" s="3"/>
      <c r="G737" s="4"/>
      <c r="H737" s="4"/>
      <c r="I737" s="4"/>
      <c r="J737" s="4"/>
      <c r="K737" s="4"/>
      <c r="L737" s="4"/>
      <c r="M737" s="4"/>
      <c r="N737" s="4"/>
      <c r="O737" s="6"/>
    </row>
    <row r="738" spans="2:15" s="46" customFormat="1">
      <c r="B738" s="3"/>
      <c r="C738" s="3"/>
      <c r="G738" s="4"/>
      <c r="H738" s="4"/>
      <c r="I738" s="4"/>
      <c r="J738" s="4"/>
      <c r="K738" s="4"/>
      <c r="L738" s="4"/>
      <c r="M738" s="4"/>
      <c r="N738" s="4"/>
      <c r="O738" s="6"/>
    </row>
    <row r="739" spans="2:15" s="46" customFormat="1">
      <c r="B739" s="3"/>
      <c r="C739" s="3"/>
      <c r="G739" s="4"/>
      <c r="H739" s="4"/>
      <c r="I739" s="4"/>
      <c r="J739" s="4"/>
      <c r="K739" s="4"/>
      <c r="L739" s="4"/>
      <c r="M739" s="4"/>
      <c r="N739" s="4"/>
      <c r="O739" s="6"/>
    </row>
    <row r="740" spans="2:15" s="46" customFormat="1">
      <c r="B740" s="3"/>
      <c r="C740" s="3"/>
      <c r="G740" s="4"/>
      <c r="H740" s="4"/>
      <c r="I740" s="4"/>
      <c r="J740" s="4"/>
      <c r="K740" s="4"/>
      <c r="L740" s="4"/>
      <c r="M740" s="4"/>
      <c r="N740" s="4"/>
      <c r="O740" s="6"/>
    </row>
    <row r="741" spans="2:15" s="46" customFormat="1">
      <c r="B741" s="3"/>
      <c r="C741" s="3"/>
      <c r="G741" s="4"/>
      <c r="H741" s="4"/>
      <c r="I741" s="4"/>
      <c r="J741" s="4"/>
      <c r="K741" s="4"/>
      <c r="L741" s="4"/>
      <c r="M741" s="4"/>
      <c r="N741" s="4"/>
      <c r="O741" s="6"/>
    </row>
    <row r="742" spans="2:15" s="46" customFormat="1">
      <c r="B742" s="3"/>
      <c r="C742" s="3"/>
      <c r="G742" s="4"/>
      <c r="H742" s="4"/>
      <c r="I742" s="4"/>
      <c r="J742" s="4"/>
      <c r="K742" s="4"/>
      <c r="L742" s="4"/>
      <c r="M742" s="4"/>
      <c r="N742" s="4"/>
      <c r="O742" s="6"/>
    </row>
    <row r="743" spans="2:15" s="46" customFormat="1">
      <c r="B743" s="3"/>
      <c r="C743" s="3"/>
      <c r="G743" s="4"/>
      <c r="H743" s="4"/>
      <c r="I743" s="4"/>
      <c r="J743" s="4"/>
      <c r="K743" s="4"/>
      <c r="L743" s="4"/>
      <c r="M743" s="4"/>
      <c r="N743" s="4"/>
      <c r="O743" s="6"/>
    </row>
    <row r="744" spans="2:15" s="46" customFormat="1">
      <c r="B744" s="3"/>
      <c r="C744" s="3"/>
      <c r="G744" s="4"/>
      <c r="H744" s="4"/>
      <c r="I744" s="4"/>
      <c r="J744" s="4"/>
      <c r="K744" s="4"/>
      <c r="L744" s="4"/>
      <c r="M744" s="4"/>
      <c r="N744" s="4"/>
      <c r="O744" s="6"/>
    </row>
    <row r="745" spans="2:15" s="46" customFormat="1">
      <c r="B745" s="3"/>
      <c r="C745" s="3"/>
      <c r="G745" s="4"/>
      <c r="H745" s="4"/>
      <c r="I745" s="4"/>
      <c r="J745" s="4"/>
      <c r="K745" s="4"/>
      <c r="L745" s="4"/>
      <c r="M745" s="4"/>
      <c r="N745" s="4"/>
      <c r="O745" s="6"/>
    </row>
    <row r="746" spans="2:15" s="46" customFormat="1">
      <c r="B746" s="3"/>
      <c r="C746" s="3"/>
      <c r="G746" s="4"/>
      <c r="H746" s="4"/>
      <c r="I746" s="4"/>
      <c r="J746" s="4"/>
      <c r="K746" s="4"/>
      <c r="L746" s="4"/>
      <c r="M746" s="4"/>
      <c r="N746" s="4"/>
      <c r="O746" s="6"/>
    </row>
    <row r="747" spans="2:15" s="46" customFormat="1">
      <c r="B747" s="3"/>
      <c r="C747" s="3"/>
      <c r="G747" s="4"/>
      <c r="H747" s="4"/>
      <c r="I747" s="4"/>
      <c r="J747" s="4"/>
      <c r="K747" s="4"/>
      <c r="L747" s="4"/>
      <c r="M747" s="4"/>
      <c r="N747" s="4"/>
      <c r="O747" s="6"/>
    </row>
    <row r="748" spans="2:15" s="46" customFormat="1">
      <c r="B748" s="3"/>
      <c r="C748" s="3"/>
      <c r="G748" s="4"/>
      <c r="H748" s="4"/>
      <c r="I748" s="4"/>
      <c r="J748" s="4"/>
      <c r="K748" s="4"/>
      <c r="L748" s="4"/>
      <c r="M748" s="4"/>
      <c r="N748" s="4"/>
      <c r="O748" s="6"/>
    </row>
    <row r="749" spans="2:15" s="46" customFormat="1">
      <c r="B749" s="3"/>
      <c r="C749" s="3"/>
      <c r="G749" s="4"/>
      <c r="H749" s="4"/>
      <c r="I749" s="4"/>
      <c r="J749" s="4"/>
      <c r="K749" s="4"/>
      <c r="L749" s="4"/>
      <c r="M749" s="4"/>
      <c r="N749" s="4"/>
      <c r="O749" s="6"/>
    </row>
    <row r="750" spans="2:15" s="46" customFormat="1">
      <c r="B750" s="3"/>
      <c r="C750" s="3"/>
      <c r="G750" s="4"/>
      <c r="H750" s="4"/>
      <c r="I750" s="4"/>
      <c r="J750" s="4"/>
      <c r="K750" s="4"/>
      <c r="L750" s="4"/>
      <c r="M750" s="4"/>
      <c r="N750" s="4"/>
      <c r="O750" s="6"/>
    </row>
    <row r="751" spans="2:15" s="46" customFormat="1">
      <c r="B751" s="3"/>
      <c r="C751" s="3"/>
      <c r="G751" s="4"/>
      <c r="H751" s="4"/>
      <c r="I751" s="4"/>
      <c r="J751" s="4"/>
      <c r="K751" s="4"/>
      <c r="L751" s="4"/>
      <c r="M751" s="4"/>
      <c r="N751" s="4"/>
      <c r="O751" s="6"/>
    </row>
    <row r="752" spans="2:15" s="46" customFormat="1">
      <c r="B752" s="3"/>
      <c r="C752" s="3"/>
      <c r="G752" s="4"/>
      <c r="H752" s="4"/>
      <c r="I752" s="4"/>
      <c r="J752" s="4"/>
      <c r="K752" s="4"/>
      <c r="L752" s="4"/>
      <c r="M752" s="4"/>
      <c r="N752" s="4"/>
      <c r="O752" s="6"/>
    </row>
    <row r="753" spans="2:15" s="46" customFormat="1">
      <c r="B753" s="3"/>
      <c r="C753" s="3"/>
      <c r="G753" s="4"/>
      <c r="H753" s="4"/>
      <c r="I753" s="4"/>
      <c r="J753" s="4"/>
      <c r="K753" s="4"/>
      <c r="L753" s="4"/>
      <c r="M753" s="4"/>
      <c r="N753" s="4"/>
      <c r="O753" s="6"/>
    </row>
    <row r="754" spans="2:15" s="46" customFormat="1">
      <c r="B754" s="3"/>
      <c r="C754" s="3"/>
      <c r="G754" s="4"/>
      <c r="H754" s="4"/>
      <c r="I754" s="4"/>
      <c r="J754" s="4"/>
      <c r="K754" s="4"/>
      <c r="L754" s="4"/>
      <c r="M754" s="4"/>
      <c r="N754" s="4"/>
      <c r="O754" s="6"/>
    </row>
    <row r="755" spans="2:15" s="46" customFormat="1">
      <c r="B755" s="3"/>
      <c r="C755" s="3"/>
      <c r="G755" s="4"/>
      <c r="H755" s="4"/>
      <c r="I755" s="4"/>
      <c r="J755" s="4"/>
      <c r="K755" s="4"/>
      <c r="L755" s="4"/>
      <c r="M755" s="4"/>
      <c r="N755" s="4"/>
      <c r="O755" s="6"/>
    </row>
    <row r="756" spans="2:15" s="46" customFormat="1">
      <c r="B756" s="3"/>
      <c r="C756" s="3"/>
      <c r="G756" s="4"/>
      <c r="H756" s="4"/>
      <c r="I756" s="4"/>
      <c r="J756" s="4"/>
      <c r="K756" s="4"/>
      <c r="L756" s="4"/>
      <c r="M756" s="4"/>
      <c r="N756" s="4"/>
      <c r="O756" s="6"/>
    </row>
    <row r="757" spans="2:15" s="46" customFormat="1">
      <c r="B757" s="3"/>
      <c r="C757" s="3"/>
      <c r="G757" s="4"/>
      <c r="H757" s="4"/>
      <c r="I757" s="4"/>
      <c r="J757" s="4"/>
      <c r="K757" s="4"/>
      <c r="L757" s="4"/>
      <c r="M757" s="4"/>
      <c r="N757" s="4"/>
      <c r="O757" s="6"/>
    </row>
    <row r="758" spans="2:15" s="46" customFormat="1">
      <c r="B758" s="3"/>
      <c r="C758" s="3"/>
      <c r="G758" s="4"/>
      <c r="H758" s="4"/>
      <c r="I758" s="4"/>
      <c r="J758" s="4"/>
      <c r="K758" s="4"/>
      <c r="L758" s="4"/>
      <c r="M758" s="4"/>
      <c r="N758" s="4"/>
      <c r="O758" s="6"/>
    </row>
    <row r="759" spans="2:15" s="46" customFormat="1">
      <c r="B759" s="3"/>
      <c r="C759" s="3"/>
      <c r="G759" s="4"/>
      <c r="H759" s="4"/>
      <c r="I759" s="4"/>
      <c r="J759" s="4"/>
      <c r="K759" s="4"/>
      <c r="L759" s="4"/>
      <c r="M759" s="4"/>
      <c r="N759" s="4"/>
      <c r="O759" s="6"/>
    </row>
    <row r="760" spans="2:15" s="46" customFormat="1">
      <c r="B760" s="3"/>
      <c r="C760" s="3"/>
      <c r="G760" s="4"/>
      <c r="H760" s="4"/>
      <c r="I760" s="4"/>
      <c r="J760" s="4"/>
      <c r="K760" s="4"/>
      <c r="L760" s="4"/>
      <c r="M760" s="4"/>
      <c r="N760" s="4"/>
      <c r="O760" s="6"/>
    </row>
    <row r="761" spans="2:15" s="46" customFormat="1">
      <c r="B761" s="3"/>
      <c r="C761" s="3"/>
      <c r="G761" s="4"/>
      <c r="H761" s="4"/>
      <c r="I761" s="4"/>
      <c r="J761" s="4"/>
      <c r="K761" s="4"/>
      <c r="L761" s="4"/>
      <c r="M761" s="4"/>
      <c r="N761" s="4"/>
      <c r="O761" s="6"/>
    </row>
    <row r="762" spans="2:15" s="46" customFormat="1">
      <c r="B762" s="3"/>
      <c r="C762" s="3"/>
      <c r="G762" s="4"/>
      <c r="H762" s="4"/>
      <c r="I762" s="4"/>
      <c r="J762" s="4"/>
      <c r="K762" s="4"/>
      <c r="L762" s="4"/>
      <c r="M762" s="4"/>
      <c r="N762" s="4"/>
      <c r="O762" s="6"/>
    </row>
    <row r="763" spans="2:15" s="46" customFormat="1">
      <c r="B763" s="3"/>
      <c r="C763" s="3"/>
      <c r="G763" s="4"/>
      <c r="H763" s="4"/>
      <c r="I763" s="4"/>
      <c r="J763" s="4"/>
      <c r="K763" s="4"/>
      <c r="L763" s="4"/>
      <c r="M763" s="4"/>
      <c r="N763" s="4"/>
      <c r="O763" s="6"/>
    </row>
    <row r="764" spans="2:15" s="46" customFormat="1">
      <c r="B764" s="3"/>
      <c r="C764" s="3"/>
      <c r="G764" s="4"/>
      <c r="H764" s="4"/>
      <c r="I764" s="4"/>
      <c r="J764" s="4"/>
      <c r="K764" s="4"/>
      <c r="L764" s="4"/>
      <c r="M764" s="4"/>
      <c r="N764" s="4"/>
      <c r="O764" s="6"/>
    </row>
    <row r="765" spans="2:15" s="46" customFormat="1">
      <c r="B765" s="3"/>
      <c r="C765" s="3"/>
      <c r="G765" s="4"/>
      <c r="H765" s="4"/>
      <c r="I765" s="4"/>
      <c r="J765" s="4"/>
      <c r="K765" s="4"/>
      <c r="L765" s="4"/>
      <c r="M765" s="4"/>
      <c r="N765" s="4"/>
      <c r="O765" s="6"/>
    </row>
    <row r="766" spans="2:15" s="46" customFormat="1">
      <c r="B766" s="3"/>
      <c r="C766" s="3"/>
      <c r="G766" s="4"/>
      <c r="H766" s="4"/>
      <c r="I766" s="4"/>
      <c r="J766" s="4"/>
      <c r="K766" s="4"/>
      <c r="L766" s="4"/>
      <c r="M766" s="4"/>
      <c r="N766" s="4"/>
      <c r="O766" s="6"/>
    </row>
    <row r="767" spans="2:15" s="46" customFormat="1">
      <c r="B767" s="3"/>
      <c r="C767" s="3"/>
      <c r="G767" s="4"/>
      <c r="H767" s="4"/>
      <c r="I767" s="4"/>
      <c r="J767" s="4"/>
      <c r="K767" s="4"/>
      <c r="L767" s="4"/>
      <c r="M767" s="4"/>
      <c r="N767" s="4"/>
      <c r="O767" s="6"/>
    </row>
    <row r="768" spans="2:15" s="46" customFormat="1">
      <c r="B768" s="3"/>
      <c r="C768" s="3"/>
      <c r="G768" s="4"/>
      <c r="H768" s="4"/>
      <c r="I768" s="4"/>
      <c r="J768" s="4"/>
      <c r="K768" s="4"/>
      <c r="L768" s="4"/>
      <c r="M768" s="4"/>
      <c r="N768" s="4"/>
      <c r="O768" s="6"/>
    </row>
    <row r="769" spans="2:15" s="46" customFormat="1">
      <c r="B769" s="3"/>
      <c r="C769" s="3"/>
      <c r="G769" s="4"/>
      <c r="H769" s="4"/>
      <c r="I769" s="4"/>
      <c r="J769" s="4"/>
      <c r="K769" s="4"/>
      <c r="L769" s="4"/>
      <c r="M769" s="4"/>
      <c r="N769" s="4"/>
      <c r="O769" s="6"/>
    </row>
    <row r="770" spans="2:15" s="46" customFormat="1">
      <c r="B770" s="3"/>
      <c r="C770" s="3"/>
      <c r="G770" s="4"/>
      <c r="H770" s="4"/>
      <c r="I770" s="4"/>
      <c r="J770" s="4"/>
      <c r="K770" s="4"/>
      <c r="L770" s="4"/>
      <c r="M770" s="4"/>
      <c r="N770" s="4"/>
      <c r="O770" s="6"/>
    </row>
    <row r="771" spans="2:15" s="46" customFormat="1">
      <c r="B771" s="3"/>
      <c r="C771" s="3"/>
      <c r="G771" s="4"/>
      <c r="H771" s="4"/>
      <c r="I771" s="4"/>
      <c r="J771" s="4"/>
      <c r="K771" s="4"/>
      <c r="L771" s="4"/>
      <c r="M771" s="4"/>
      <c r="N771" s="4"/>
      <c r="O771" s="6"/>
    </row>
    <row r="772" spans="2:15" s="46" customFormat="1">
      <c r="B772" s="3"/>
      <c r="C772" s="3"/>
      <c r="G772" s="4"/>
      <c r="H772" s="4"/>
      <c r="I772" s="4"/>
      <c r="J772" s="4"/>
      <c r="K772" s="4"/>
      <c r="L772" s="4"/>
      <c r="M772" s="4"/>
      <c r="N772" s="4"/>
      <c r="O772" s="6"/>
    </row>
    <row r="773" spans="2:15" s="46" customFormat="1">
      <c r="B773" s="3"/>
      <c r="C773" s="3"/>
      <c r="G773" s="4"/>
      <c r="H773" s="4"/>
      <c r="I773" s="4"/>
      <c r="J773" s="4"/>
      <c r="K773" s="4"/>
      <c r="L773" s="4"/>
      <c r="M773" s="4"/>
      <c r="N773" s="4"/>
      <c r="O773" s="6"/>
    </row>
    <row r="774" spans="2:15" s="46" customFormat="1">
      <c r="B774" s="3"/>
      <c r="C774" s="3"/>
      <c r="G774" s="4"/>
      <c r="H774" s="4"/>
      <c r="I774" s="4"/>
      <c r="J774" s="4"/>
      <c r="K774" s="4"/>
      <c r="L774" s="4"/>
      <c r="M774" s="4"/>
      <c r="N774" s="4"/>
      <c r="O774" s="6"/>
    </row>
    <row r="775" spans="2:15" s="46" customFormat="1">
      <c r="B775" s="3"/>
      <c r="C775" s="3"/>
      <c r="G775" s="4"/>
      <c r="H775" s="4"/>
      <c r="I775" s="4"/>
      <c r="J775" s="4"/>
      <c r="K775" s="4"/>
      <c r="L775" s="4"/>
      <c r="M775" s="4"/>
      <c r="N775" s="4"/>
      <c r="O775" s="6"/>
    </row>
    <row r="776" spans="2:15" s="46" customFormat="1">
      <c r="B776" s="3"/>
      <c r="C776" s="3"/>
      <c r="G776" s="4"/>
      <c r="H776" s="4"/>
      <c r="I776" s="4"/>
      <c r="J776" s="4"/>
      <c r="K776" s="4"/>
      <c r="L776" s="4"/>
      <c r="M776" s="4"/>
      <c r="N776" s="4"/>
      <c r="O776" s="6"/>
    </row>
    <row r="777" spans="2:15" s="46" customFormat="1">
      <c r="B777" s="3"/>
      <c r="C777" s="3"/>
      <c r="G777" s="4"/>
      <c r="H777" s="4"/>
      <c r="I777" s="4"/>
      <c r="J777" s="4"/>
      <c r="K777" s="4"/>
      <c r="L777" s="4"/>
      <c r="M777" s="4"/>
      <c r="N777" s="4"/>
      <c r="O777" s="6"/>
    </row>
    <row r="778" spans="2:15" s="46" customFormat="1">
      <c r="B778" s="3"/>
      <c r="C778" s="3"/>
      <c r="G778" s="4"/>
      <c r="H778" s="4"/>
      <c r="I778" s="4"/>
      <c r="J778" s="4"/>
      <c r="K778" s="4"/>
      <c r="L778" s="4"/>
      <c r="M778" s="4"/>
      <c r="N778" s="4"/>
      <c r="O778" s="6"/>
    </row>
    <row r="779" spans="2:15" s="46" customFormat="1">
      <c r="B779" s="3"/>
      <c r="C779" s="3"/>
      <c r="G779" s="4"/>
      <c r="H779" s="4"/>
      <c r="I779" s="4"/>
      <c r="J779" s="4"/>
      <c r="K779" s="4"/>
      <c r="L779" s="4"/>
      <c r="M779" s="4"/>
      <c r="N779" s="4"/>
      <c r="O779" s="6"/>
    </row>
    <row r="780" spans="2:15" s="46" customFormat="1">
      <c r="B780" s="3"/>
      <c r="C780" s="3"/>
      <c r="G780" s="4"/>
      <c r="H780" s="4"/>
      <c r="I780" s="4"/>
      <c r="J780" s="4"/>
      <c r="K780" s="4"/>
      <c r="L780" s="4"/>
      <c r="M780" s="4"/>
      <c r="N780" s="4"/>
      <c r="O780" s="6"/>
    </row>
    <row r="781" spans="2:15" s="46" customFormat="1">
      <c r="B781" s="3"/>
      <c r="C781" s="3"/>
      <c r="G781" s="4"/>
      <c r="H781" s="4"/>
      <c r="I781" s="4"/>
      <c r="J781" s="4"/>
      <c r="K781" s="4"/>
      <c r="L781" s="4"/>
      <c r="M781" s="4"/>
      <c r="N781" s="4"/>
      <c r="O781" s="6"/>
    </row>
    <row r="782" spans="2:15" s="46" customFormat="1">
      <c r="B782" s="3"/>
      <c r="C782" s="3"/>
      <c r="G782" s="4"/>
      <c r="H782" s="4"/>
      <c r="I782" s="4"/>
      <c r="J782" s="4"/>
      <c r="K782" s="4"/>
      <c r="L782" s="4"/>
      <c r="M782" s="4"/>
      <c r="N782" s="4"/>
      <c r="O782" s="6"/>
    </row>
    <row r="783" spans="2:15" s="46" customFormat="1">
      <c r="B783" s="3"/>
      <c r="C783" s="3"/>
      <c r="G783" s="4"/>
      <c r="H783" s="4"/>
      <c r="I783" s="4"/>
      <c r="J783" s="4"/>
      <c r="K783" s="4"/>
      <c r="L783" s="4"/>
      <c r="M783" s="4"/>
      <c r="N783" s="4"/>
      <c r="O783" s="6"/>
    </row>
    <row r="784" spans="2:15" s="46" customFormat="1">
      <c r="B784" s="3"/>
      <c r="C784" s="3"/>
      <c r="G784" s="4"/>
      <c r="H784" s="4"/>
      <c r="I784" s="4"/>
      <c r="J784" s="4"/>
      <c r="K784" s="4"/>
      <c r="L784" s="4"/>
      <c r="M784" s="4"/>
      <c r="N784" s="4"/>
      <c r="O784" s="6"/>
    </row>
    <row r="785" spans="2:15" s="46" customFormat="1">
      <c r="B785" s="3"/>
      <c r="C785" s="3"/>
      <c r="G785" s="4"/>
      <c r="H785" s="4"/>
      <c r="I785" s="4"/>
      <c r="J785" s="4"/>
      <c r="K785" s="4"/>
      <c r="L785" s="4"/>
      <c r="M785" s="4"/>
      <c r="N785" s="4"/>
      <c r="O785" s="6"/>
    </row>
    <row r="786" spans="2:15" s="46" customFormat="1">
      <c r="B786" s="3"/>
      <c r="C786" s="3"/>
      <c r="G786" s="4"/>
      <c r="H786" s="4"/>
      <c r="I786" s="4"/>
      <c r="J786" s="4"/>
      <c r="K786" s="4"/>
      <c r="L786" s="4"/>
      <c r="M786" s="4"/>
      <c r="N786" s="4"/>
      <c r="O786" s="6"/>
    </row>
    <row r="787" spans="2:15" s="46" customFormat="1">
      <c r="B787" s="3"/>
      <c r="C787" s="3"/>
      <c r="G787" s="4"/>
      <c r="H787" s="4"/>
      <c r="I787" s="4"/>
      <c r="J787" s="4"/>
      <c r="K787" s="4"/>
      <c r="L787" s="4"/>
      <c r="M787" s="4"/>
      <c r="N787" s="4"/>
      <c r="O787" s="6"/>
    </row>
    <row r="788" spans="2:15" s="46" customFormat="1">
      <c r="B788" s="3"/>
      <c r="C788" s="3"/>
      <c r="G788" s="4"/>
      <c r="H788" s="4"/>
      <c r="I788" s="4"/>
      <c r="J788" s="4"/>
      <c r="K788" s="4"/>
      <c r="L788" s="4"/>
      <c r="M788" s="4"/>
      <c r="N788" s="4"/>
      <c r="O788" s="6"/>
    </row>
    <row r="789" spans="2:15" s="46" customFormat="1">
      <c r="B789" s="3"/>
      <c r="C789" s="3"/>
      <c r="G789" s="4"/>
      <c r="H789" s="4"/>
      <c r="I789" s="4"/>
      <c r="J789" s="4"/>
      <c r="K789" s="4"/>
      <c r="L789" s="4"/>
      <c r="M789" s="4"/>
      <c r="N789" s="4"/>
      <c r="O789" s="6"/>
    </row>
    <row r="790" spans="2:15" s="46" customFormat="1">
      <c r="B790" s="3"/>
      <c r="C790" s="3"/>
      <c r="G790" s="4"/>
      <c r="H790" s="4"/>
      <c r="I790" s="4"/>
      <c r="J790" s="4"/>
      <c r="K790" s="4"/>
      <c r="L790" s="4"/>
      <c r="M790" s="4"/>
      <c r="N790" s="4"/>
      <c r="O790" s="6"/>
    </row>
    <row r="791" spans="2:15" s="46" customFormat="1">
      <c r="B791" s="3"/>
      <c r="C791" s="3"/>
      <c r="G791" s="4"/>
      <c r="H791" s="4"/>
      <c r="I791" s="4"/>
      <c r="J791" s="4"/>
      <c r="K791" s="4"/>
      <c r="L791" s="4"/>
      <c r="M791" s="4"/>
      <c r="N791" s="4"/>
      <c r="O791" s="6"/>
    </row>
    <row r="792" spans="2:15" s="46" customFormat="1">
      <c r="B792" s="3"/>
      <c r="C792" s="3"/>
      <c r="G792" s="4"/>
      <c r="H792" s="4"/>
      <c r="I792" s="4"/>
      <c r="J792" s="4"/>
      <c r="K792" s="4"/>
      <c r="L792" s="4"/>
      <c r="M792" s="4"/>
      <c r="N792" s="4"/>
      <c r="O792" s="6"/>
    </row>
    <row r="793" spans="2:15" s="46" customFormat="1">
      <c r="B793" s="3"/>
      <c r="C793" s="3"/>
      <c r="G793" s="4"/>
      <c r="H793" s="4"/>
      <c r="I793" s="4"/>
      <c r="J793" s="4"/>
      <c r="K793" s="4"/>
      <c r="L793" s="4"/>
      <c r="M793" s="4"/>
      <c r="N793" s="4"/>
      <c r="O793" s="6"/>
    </row>
    <row r="794" spans="2:15" s="46" customFormat="1">
      <c r="B794" s="3"/>
      <c r="C794" s="3"/>
      <c r="G794" s="4"/>
      <c r="H794" s="4"/>
      <c r="I794" s="4"/>
      <c r="J794" s="4"/>
      <c r="K794" s="4"/>
      <c r="L794" s="4"/>
      <c r="M794" s="4"/>
      <c r="N794" s="4"/>
      <c r="O794" s="6"/>
    </row>
    <row r="795" spans="2:15" s="46" customFormat="1">
      <c r="B795" s="3"/>
      <c r="C795" s="3"/>
      <c r="G795" s="4"/>
      <c r="H795" s="4"/>
      <c r="I795" s="4"/>
      <c r="J795" s="4"/>
      <c r="K795" s="4"/>
      <c r="L795" s="4"/>
      <c r="M795" s="4"/>
      <c r="N795" s="4"/>
      <c r="O795" s="6"/>
    </row>
    <row r="796" spans="2:15" s="46" customFormat="1">
      <c r="B796" s="3"/>
      <c r="C796" s="3"/>
      <c r="G796" s="4"/>
      <c r="H796" s="4"/>
      <c r="I796" s="4"/>
      <c r="J796" s="4"/>
      <c r="K796" s="4"/>
      <c r="L796" s="4"/>
      <c r="M796" s="4"/>
      <c r="N796" s="4"/>
      <c r="O796" s="6"/>
    </row>
    <row r="797" spans="2:15" s="46" customFormat="1">
      <c r="B797" s="3"/>
      <c r="C797" s="3"/>
      <c r="G797" s="4"/>
      <c r="H797" s="4"/>
      <c r="I797" s="4"/>
      <c r="J797" s="4"/>
      <c r="K797" s="4"/>
      <c r="L797" s="4"/>
      <c r="M797" s="4"/>
      <c r="N797" s="4"/>
      <c r="O797" s="6"/>
    </row>
    <row r="798" spans="2:15" s="46" customFormat="1">
      <c r="B798" s="3"/>
      <c r="C798" s="3"/>
      <c r="G798" s="4"/>
      <c r="H798" s="4"/>
      <c r="I798" s="4"/>
      <c r="J798" s="4"/>
      <c r="K798" s="4"/>
      <c r="L798" s="4"/>
      <c r="M798" s="4"/>
      <c r="N798" s="4"/>
      <c r="O798" s="6"/>
    </row>
    <row r="799" spans="2:15" s="46" customFormat="1">
      <c r="B799" s="3"/>
      <c r="C799" s="3"/>
      <c r="G799" s="4"/>
      <c r="H799" s="4"/>
      <c r="I799" s="4"/>
      <c r="J799" s="4"/>
      <c r="K799" s="4"/>
      <c r="L799" s="4"/>
      <c r="M799" s="4"/>
      <c r="N799" s="4"/>
      <c r="O799" s="6"/>
    </row>
    <row r="800" spans="2:15" s="46" customFormat="1">
      <c r="B800" s="3"/>
      <c r="C800" s="3"/>
      <c r="G800" s="4"/>
      <c r="H800" s="4"/>
      <c r="I800" s="4"/>
      <c r="J800" s="4"/>
      <c r="K800" s="4"/>
      <c r="L800" s="4"/>
      <c r="M800" s="4"/>
      <c r="N800" s="4"/>
      <c r="O800" s="6"/>
    </row>
    <row r="801" spans="2:15" s="46" customFormat="1">
      <c r="B801" s="3"/>
      <c r="C801" s="3"/>
      <c r="G801" s="4"/>
      <c r="H801" s="4"/>
      <c r="I801" s="4"/>
      <c r="J801" s="4"/>
      <c r="K801" s="4"/>
      <c r="L801" s="4"/>
      <c r="M801" s="4"/>
      <c r="N801" s="4"/>
      <c r="O801" s="6"/>
    </row>
    <row r="802" spans="2:15" s="46" customFormat="1">
      <c r="B802" s="3"/>
      <c r="C802" s="3"/>
      <c r="G802" s="4"/>
      <c r="H802" s="4"/>
      <c r="I802" s="4"/>
      <c r="J802" s="4"/>
      <c r="K802" s="4"/>
      <c r="L802" s="4"/>
      <c r="M802" s="4"/>
      <c r="N802" s="4"/>
      <c r="O802" s="6"/>
    </row>
    <row r="803" spans="2:15" s="46" customFormat="1">
      <c r="B803" s="3"/>
      <c r="C803" s="3"/>
      <c r="G803" s="4"/>
      <c r="H803" s="4"/>
      <c r="I803" s="4"/>
      <c r="J803" s="4"/>
      <c r="K803" s="4"/>
      <c r="L803" s="4"/>
      <c r="M803" s="4"/>
      <c r="N803" s="4"/>
      <c r="O803" s="6"/>
    </row>
    <row r="804" spans="2:15" s="46" customFormat="1">
      <c r="B804" s="3"/>
      <c r="C804" s="3"/>
      <c r="G804" s="4"/>
      <c r="H804" s="4"/>
      <c r="I804" s="4"/>
      <c r="J804" s="4"/>
      <c r="K804" s="4"/>
      <c r="L804" s="4"/>
      <c r="M804" s="4"/>
      <c r="N804" s="4"/>
      <c r="O804" s="6"/>
    </row>
    <row r="805" spans="2:15" s="46" customFormat="1">
      <c r="B805" s="3"/>
      <c r="C805" s="3"/>
      <c r="G805" s="4"/>
      <c r="H805" s="4"/>
      <c r="I805" s="4"/>
      <c r="J805" s="4"/>
      <c r="K805" s="4"/>
      <c r="L805" s="4"/>
      <c r="M805" s="4"/>
      <c r="N805" s="4"/>
      <c r="O805" s="6"/>
    </row>
    <row r="806" spans="2:15" s="46" customFormat="1">
      <c r="B806" s="3"/>
      <c r="C806" s="3"/>
      <c r="G806" s="4"/>
      <c r="H806" s="4"/>
      <c r="I806" s="4"/>
      <c r="J806" s="4"/>
      <c r="K806" s="4"/>
      <c r="L806" s="4"/>
      <c r="M806" s="4"/>
      <c r="N806" s="4"/>
      <c r="O806" s="6"/>
    </row>
    <row r="807" spans="2:15" s="46" customFormat="1">
      <c r="B807" s="3"/>
      <c r="C807" s="3"/>
      <c r="G807" s="4"/>
      <c r="H807" s="4"/>
      <c r="I807" s="4"/>
      <c r="J807" s="4"/>
      <c r="K807" s="4"/>
      <c r="L807" s="4"/>
      <c r="M807" s="4"/>
      <c r="N807" s="4"/>
      <c r="O807" s="6"/>
    </row>
    <row r="808" spans="2:15" s="46" customFormat="1">
      <c r="B808" s="3"/>
      <c r="C808" s="3"/>
      <c r="G808" s="4"/>
      <c r="H808" s="4"/>
      <c r="I808" s="4"/>
      <c r="J808" s="4"/>
      <c r="K808" s="4"/>
      <c r="L808" s="4"/>
      <c r="M808" s="4"/>
      <c r="N808" s="4"/>
      <c r="O808" s="6"/>
    </row>
    <row r="809" spans="2:15" s="46" customFormat="1">
      <c r="B809" s="3"/>
      <c r="C809" s="3"/>
      <c r="G809" s="4"/>
      <c r="H809" s="4"/>
      <c r="I809" s="4"/>
      <c r="J809" s="4"/>
      <c r="K809" s="4"/>
      <c r="L809" s="4"/>
      <c r="M809" s="4"/>
      <c r="N809" s="4"/>
      <c r="O809" s="6"/>
    </row>
    <row r="810" spans="2:15" s="46" customFormat="1">
      <c r="B810" s="3"/>
      <c r="C810" s="3"/>
      <c r="G810" s="4"/>
      <c r="H810" s="4"/>
      <c r="I810" s="4"/>
      <c r="J810" s="4"/>
      <c r="K810" s="4"/>
      <c r="L810" s="4"/>
      <c r="M810" s="4"/>
      <c r="N810" s="4"/>
      <c r="O810" s="6"/>
    </row>
    <row r="811" spans="2:15" s="46" customFormat="1">
      <c r="B811" s="3"/>
      <c r="C811" s="3"/>
      <c r="G811" s="4"/>
      <c r="H811" s="4"/>
      <c r="I811" s="4"/>
      <c r="J811" s="4"/>
      <c r="K811" s="4"/>
      <c r="L811" s="4"/>
      <c r="M811" s="4"/>
      <c r="N811" s="4"/>
      <c r="O811" s="6"/>
    </row>
    <row r="812" spans="2:15" s="46" customFormat="1">
      <c r="B812" s="3"/>
      <c r="C812" s="3"/>
      <c r="G812" s="4"/>
      <c r="H812" s="4"/>
      <c r="I812" s="4"/>
      <c r="J812" s="4"/>
      <c r="K812" s="4"/>
      <c r="L812" s="4"/>
      <c r="M812" s="4"/>
      <c r="N812" s="4"/>
      <c r="O812" s="6"/>
    </row>
    <row r="813" spans="2:15" s="46" customFormat="1">
      <c r="B813" s="3"/>
      <c r="C813" s="3"/>
      <c r="G813" s="4"/>
      <c r="H813" s="4"/>
      <c r="I813" s="4"/>
      <c r="J813" s="4"/>
      <c r="K813" s="4"/>
      <c r="L813" s="4"/>
      <c r="M813" s="4"/>
      <c r="N813" s="4"/>
      <c r="O813" s="6"/>
    </row>
    <row r="814" spans="2:15" s="46" customFormat="1">
      <c r="B814" s="3"/>
      <c r="C814" s="3"/>
      <c r="G814" s="4"/>
      <c r="H814" s="4"/>
      <c r="I814" s="4"/>
      <c r="J814" s="4"/>
      <c r="K814" s="4"/>
      <c r="L814" s="4"/>
      <c r="M814" s="4"/>
      <c r="N814" s="4"/>
      <c r="O814" s="6"/>
    </row>
    <row r="815" spans="2:15" s="46" customFormat="1">
      <c r="B815" s="3"/>
      <c r="C815" s="3"/>
      <c r="G815" s="4"/>
      <c r="H815" s="4"/>
      <c r="I815" s="4"/>
      <c r="J815" s="4"/>
      <c r="K815" s="4"/>
      <c r="L815" s="4"/>
      <c r="M815" s="4"/>
      <c r="N815" s="4"/>
      <c r="O815" s="6"/>
    </row>
    <row r="816" spans="2:15" s="46" customFormat="1">
      <c r="B816" s="3"/>
      <c r="C816" s="3"/>
      <c r="G816" s="4"/>
      <c r="H816" s="4"/>
      <c r="I816" s="4"/>
      <c r="J816" s="4"/>
      <c r="K816" s="4"/>
      <c r="L816" s="4"/>
      <c r="M816" s="4"/>
      <c r="N816" s="4"/>
      <c r="O816" s="6"/>
    </row>
    <row r="817" spans="2:15" s="46" customFormat="1">
      <c r="B817" s="3"/>
      <c r="C817" s="3"/>
      <c r="G817" s="4"/>
      <c r="H817" s="4"/>
      <c r="I817" s="4"/>
      <c r="J817" s="4"/>
      <c r="K817" s="4"/>
      <c r="L817" s="4"/>
      <c r="M817" s="4"/>
      <c r="N817" s="4"/>
      <c r="O817" s="6"/>
    </row>
    <row r="818" spans="2:15" s="46" customFormat="1">
      <c r="B818" s="3"/>
      <c r="C818" s="3"/>
      <c r="G818" s="4"/>
      <c r="H818" s="4"/>
      <c r="I818" s="4"/>
      <c r="J818" s="4"/>
      <c r="K818" s="4"/>
      <c r="L818" s="4"/>
      <c r="M818" s="4"/>
      <c r="N818" s="4"/>
      <c r="O818" s="6"/>
    </row>
    <row r="819" spans="2:15" s="46" customFormat="1">
      <c r="B819" s="3"/>
      <c r="C819" s="3"/>
      <c r="G819" s="4"/>
      <c r="H819" s="4"/>
      <c r="I819" s="4"/>
      <c r="J819" s="4"/>
      <c r="K819" s="4"/>
      <c r="L819" s="4"/>
      <c r="M819" s="4"/>
      <c r="N819" s="4"/>
      <c r="O819" s="6"/>
    </row>
    <row r="820" spans="2:15" s="46" customFormat="1">
      <c r="B820" s="3"/>
      <c r="C820" s="3"/>
      <c r="G820" s="4"/>
      <c r="H820" s="4"/>
      <c r="I820" s="4"/>
      <c r="J820" s="4"/>
      <c r="K820" s="4"/>
      <c r="L820" s="4"/>
      <c r="M820" s="4"/>
      <c r="N820" s="4"/>
      <c r="O820" s="6"/>
    </row>
    <row r="821" spans="2:15" s="46" customFormat="1">
      <c r="B821" s="3"/>
      <c r="C821" s="3"/>
      <c r="G821" s="4"/>
      <c r="H821" s="4"/>
      <c r="I821" s="4"/>
      <c r="J821" s="4"/>
      <c r="K821" s="4"/>
      <c r="L821" s="4"/>
      <c r="M821" s="4"/>
      <c r="N821" s="4"/>
      <c r="O821" s="6"/>
    </row>
    <row r="822" spans="2:15" s="46" customFormat="1">
      <c r="B822" s="3"/>
      <c r="C822" s="3"/>
      <c r="G822" s="4"/>
      <c r="H822" s="4"/>
      <c r="I822" s="4"/>
      <c r="J822" s="4"/>
      <c r="K822" s="4"/>
      <c r="L822" s="4"/>
      <c r="M822" s="4"/>
      <c r="N822" s="4"/>
      <c r="O822" s="6"/>
    </row>
    <row r="823" spans="2:15" s="46" customFormat="1">
      <c r="B823" s="3"/>
      <c r="C823" s="3"/>
      <c r="G823" s="4"/>
      <c r="H823" s="4"/>
      <c r="I823" s="4"/>
      <c r="J823" s="4"/>
      <c r="K823" s="4"/>
      <c r="L823" s="4"/>
      <c r="M823" s="4"/>
      <c r="N823" s="4"/>
      <c r="O823" s="6"/>
    </row>
    <row r="824" spans="2:15" s="46" customFormat="1">
      <c r="B824" s="3"/>
      <c r="C824" s="3"/>
      <c r="G824" s="4"/>
      <c r="H824" s="4"/>
      <c r="I824" s="4"/>
      <c r="J824" s="4"/>
      <c r="K824" s="4"/>
      <c r="L824" s="4"/>
      <c r="M824" s="4"/>
      <c r="N824" s="4"/>
      <c r="O824" s="6"/>
    </row>
    <row r="825" spans="2:15" s="46" customFormat="1">
      <c r="B825" s="3"/>
      <c r="C825" s="3"/>
      <c r="G825" s="4"/>
      <c r="H825" s="4"/>
      <c r="I825" s="4"/>
      <c r="J825" s="4"/>
      <c r="K825" s="4"/>
      <c r="L825" s="4"/>
      <c r="M825" s="4"/>
      <c r="N825" s="4"/>
      <c r="O825" s="6"/>
    </row>
    <row r="826" spans="2:15" s="46" customFormat="1">
      <c r="B826" s="3"/>
      <c r="C826" s="3"/>
      <c r="G826" s="4"/>
      <c r="H826" s="4"/>
      <c r="I826" s="4"/>
      <c r="J826" s="4"/>
      <c r="K826" s="4"/>
      <c r="L826" s="4"/>
      <c r="M826" s="4"/>
      <c r="N826" s="4"/>
      <c r="O826" s="6"/>
    </row>
    <row r="827" spans="2:15" s="46" customFormat="1">
      <c r="B827" s="3"/>
      <c r="C827" s="3"/>
      <c r="G827" s="4"/>
      <c r="H827" s="4"/>
      <c r="I827" s="4"/>
      <c r="J827" s="4"/>
      <c r="K827" s="4"/>
      <c r="L827" s="4"/>
      <c r="M827" s="4"/>
      <c r="N827" s="4"/>
      <c r="O827" s="6"/>
    </row>
    <row r="828" spans="2:15" s="46" customFormat="1">
      <c r="B828" s="3"/>
      <c r="C828" s="3"/>
      <c r="G828" s="4"/>
      <c r="H828" s="4"/>
      <c r="I828" s="4"/>
      <c r="J828" s="4"/>
      <c r="K828" s="4"/>
      <c r="L828" s="4"/>
      <c r="M828" s="4"/>
      <c r="N828" s="4"/>
      <c r="O828" s="6"/>
    </row>
    <row r="829" spans="2:15" s="46" customFormat="1">
      <c r="B829" s="3"/>
      <c r="C829" s="3"/>
      <c r="G829" s="4"/>
      <c r="H829" s="4"/>
      <c r="I829" s="4"/>
      <c r="J829" s="4"/>
      <c r="K829" s="4"/>
      <c r="L829" s="4"/>
      <c r="M829" s="4"/>
      <c r="N829" s="4"/>
      <c r="O829" s="6"/>
    </row>
    <row r="830" spans="2:15" s="46" customFormat="1">
      <c r="B830" s="3"/>
      <c r="C830" s="3"/>
      <c r="G830" s="4"/>
      <c r="H830" s="4"/>
      <c r="I830" s="4"/>
      <c r="J830" s="4"/>
      <c r="K830" s="4"/>
      <c r="L830" s="4"/>
      <c r="M830" s="4"/>
      <c r="N830" s="4"/>
      <c r="O830" s="6"/>
    </row>
    <row r="831" spans="2:15" s="46" customFormat="1">
      <c r="B831" s="3"/>
      <c r="C831" s="3"/>
      <c r="G831" s="4"/>
      <c r="H831" s="4"/>
      <c r="I831" s="4"/>
      <c r="J831" s="4"/>
      <c r="K831" s="4"/>
      <c r="L831" s="4"/>
      <c r="M831" s="4"/>
      <c r="N831" s="4"/>
      <c r="O831" s="6"/>
    </row>
    <row r="832" spans="2:15" s="46" customFormat="1">
      <c r="B832" s="3"/>
      <c r="C832" s="3"/>
      <c r="G832" s="4"/>
      <c r="H832" s="4"/>
      <c r="I832" s="4"/>
      <c r="J832" s="4"/>
      <c r="K832" s="4"/>
      <c r="L832" s="4"/>
      <c r="M832" s="4"/>
      <c r="N832" s="4"/>
      <c r="O832" s="6"/>
    </row>
    <row r="833" spans="2:15" s="46" customFormat="1">
      <c r="B833" s="3"/>
      <c r="C833" s="3"/>
      <c r="G833" s="4"/>
      <c r="H833" s="4"/>
      <c r="I833" s="4"/>
      <c r="J833" s="4"/>
      <c r="K833" s="4"/>
      <c r="L833" s="4"/>
      <c r="M833" s="4"/>
      <c r="N833" s="4"/>
      <c r="O833" s="6"/>
    </row>
    <row r="834" spans="2:15" s="46" customFormat="1">
      <c r="B834" s="3"/>
      <c r="C834" s="3"/>
      <c r="G834" s="4"/>
      <c r="H834" s="4"/>
      <c r="I834" s="4"/>
      <c r="J834" s="4"/>
      <c r="K834" s="4"/>
      <c r="L834" s="4"/>
      <c r="M834" s="4"/>
      <c r="N834" s="4"/>
      <c r="O834" s="6"/>
    </row>
    <row r="835" spans="2:15" s="46" customFormat="1">
      <c r="B835" s="3"/>
      <c r="C835" s="3"/>
      <c r="G835" s="4"/>
      <c r="H835" s="4"/>
      <c r="I835" s="4"/>
      <c r="J835" s="4"/>
      <c r="K835" s="4"/>
      <c r="L835" s="4"/>
      <c r="M835" s="4"/>
      <c r="N835" s="4"/>
      <c r="O835" s="6"/>
    </row>
    <row r="836" spans="2:15" s="46" customFormat="1">
      <c r="B836" s="3"/>
      <c r="C836" s="3"/>
      <c r="G836" s="4"/>
      <c r="H836" s="4"/>
      <c r="I836" s="4"/>
      <c r="J836" s="4"/>
      <c r="K836" s="4"/>
      <c r="L836" s="4"/>
      <c r="M836" s="4"/>
      <c r="N836" s="4"/>
      <c r="O836" s="6"/>
    </row>
    <row r="837" spans="2:15" s="46" customFormat="1">
      <c r="B837" s="3"/>
      <c r="C837" s="3"/>
      <c r="G837" s="4"/>
      <c r="H837" s="4"/>
      <c r="I837" s="4"/>
      <c r="J837" s="4"/>
      <c r="K837" s="4"/>
      <c r="L837" s="4"/>
      <c r="M837" s="4"/>
      <c r="N837" s="4"/>
      <c r="O837" s="6"/>
    </row>
    <row r="838" spans="2:15" s="46" customFormat="1">
      <c r="B838" s="3"/>
      <c r="C838" s="3"/>
      <c r="G838" s="4"/>
      <c r="H838" s="4"/>
      <c r="I838" s="4"/>
      <c r="J838" s="4"/>
      <c r="K838" s="4"/>
      <c r="L838" s="4"/>
      <c r="M838" s="4"/>
      <c r="N838" s="4"/>
      <c r="O838" s="6"/>
    </row>
    <row r="839" spans="2:15" s="46" customFormat="1">
      <c r="B839" s="3"/>
      <c r="C839" s="3"/>
      <c r="G839" s="4"/>
      <c r="H839" s="4"/>
      <c r="I839" s="4"/>
      <c r="J839" s="4"/>
      <c r="K839" s="4"/>
      <c r="L839" s="4"/>
      <c r="M839" s="4"/>
      <c r="N839" s="4"/>
      <c r="O839" s="6"/>
    </row>
    <row r="840" spans="2:15" s="46" customFormat="1">
      <c r="B840" s="3"/>
      <c r="C840" s="3"/>
      <c r="G840" s="4"/>
      <c r="H840" s="4"/>
      <c r="I840" s="4"/>
      <c r="J840" s="4"/>
      <c r="K840" s="4"/>
      <c r="L840" s="4"/>
      <c r="M840" s="4"/>
      <c r="N840" s="4"/>
      <c r="O840" s="6"/>
    </row>
    <row r="841" spans="2:15" s="46" customFormat="1">
      <c r="B841" s="3"/>
      <c r="C841" s="3"/>
      <c r="G841" s="4"/>
      <c r="H841" s="4"/>
      <c r="I841" s="4"/>
      <c r="J841" s="4"/>
      <c r="K841" s="4"/>
      <c r="L841" s="4"/>
      <c r="M841" s="4"/>
      <c r="N841" s="4"/>
      <c r="O841" s="6"/>
    </row>
    <row r="842" spans="2:15" s="46" customFormat="1">
      <c r="B842" s="3"/>
      <c r="C842" s="3"/>
      <c r="G842" s="4"/>
      <c r="H842" s="4"/>
      <c r="I842" s="4"/>
      <c r="J842" s="4"/>
      <c r="K842" s="4"/>
      <c r="L842" s="4"/>
      <c r="M842" s="4"/>
      <c r="N842" s="4"/>
      <c r="O842" s="6"/>
    </row>
    <row r="843" spans="2:15" s="46" customFormat="1">
      <c r="B843" s="3"/>
      <c r="C843" s="3"/>
      <c r="G843" s="4"/>
      <c r="H843" s="4"/>
      <c r="I843" s="4"/>
      <c r="J843" s="4"/>
      <c r="K843" s="4"/>
      <c r="L843" s="4"/>
      <c r="M843" s="4"/>
      <c r="N843" s="4"/>
      <c r="O843" s="6"/>
    </row>
    <row r="844" spans="2:15" s="46" customFormat="1">
      <c r="B844" s="3"/>
      <c r="C844" s="3"/>
      <c r="G844" s="4"/>
      <c r="H844" s="4"/>
      <c r="I844" s="4"/>
      <c r="J844" s="4"/>
      <c r="K844" s="4"/>
      <c r="L844" s="4"/>
      <c r="M844" s="4"/>
      <c r="N844" s="4"/>
      <c r="O844" s="6"/>
    </row>
    <row r="845" spans="2:15" s="46" customFormat="1">
      <c r="B845" s="3"/>
      <c r="C845" s="3"/>
      <c r="G845" s="4"/>
      <c r="H845" s="4"/>
      <c r="I845" s="4"/>
      <c r="J845" s="4"/>
      <c r="K845" s="4"/>
      <c r="L845" s="4"/>
      <c r="M845" s="4"/>
      <c r="N845" s="4"/>
      <c r="O845" s="6"/>
    </row>
    <row r="846" spans="2:15" s="46" customFormat="1">
      <c r="B846" s="3"/>
      <c r="C846" s="3"/>
      <c r="G846" s="4"/>
      <c r="H846" s="4"/>
      <c r="I846" s="4"/>
      <c r="J846" s="4"/>
      <c r="K846" s="4"/>
      <c r="L846" s="4"/>
      <c r="M846" s="4"/>
      <c r="N846" s="4"/>
      <c r="O846" s="6"/>
    </row>
    <row r="847" spans="2:15" s="46" customFormat="1">
      <c r="B847" s="3"/>
      <c r="C847" s="3"/>
      <c r="G847" s="4"/>
      <c r="H847" s="4"/>
      <c r="I847" s="4"/>
      <c r="J847" s="4"/>
      <c r="K847" s="4"/>
      <c r="L847" s="4"/>
      <c r="M847" s="4"/>
      <c r="N847" s="4"/>
      <c r="O847" s="6"/>
    </row>
    <row r="848" spans="2:15" s="46" customFormat="1">
      <c r="B848" s="3"/>
      <c r="C848" s="3"/>
      <c r="G848" s="4"/>
      <c r="H848" s="4"/>
      <c r="I848" s="4"/>
      <c r="J848" s="4"/>
      <c r="K848" s="4"/>
      <c r="L848" s="4"/>
      <c r="M848" s="4"/>
      <c r="N848" s="4"/>
      <c r="O848" s="6"/>
    </row>
    <row r="849" spans="2:15" s="46" customFormat="1">
      <c r="B849" s="3"/>
      <c r="C849" s="3"/>
      <c r="G849" s="4"/>
      <c r="H849" s="4"/>
      <c r="I849" s="4"/>
      <c r="J849" s="4"/>
      <c r="K849" s="4"/>
      <c r="L849" s="4"/>
      <c r="M849" s="4"/>
      <c r="N849" s="4"/>
      <c r="O849" s="6"/>
    </row>
    <row r="850" spans="2:15" s="46" customFormat="1">
      <c r="B850" s="3"/>
      <c r="C850" s="3"/>
      <c r="G850" s="4"/>
      <c r="H850" s="4"/>
      <c r="I850" s="4"/>
      <c r="J850" s="4"/>
      <c r="K850" s="4"/>
      <c r="L850" s="4"/>
      <c r="M850" s="4"/>
      <c r="N850" s="4"/>
      <c r="O850" s="6"/>
    </row>
    <row r="851" spans="2:15" s="46" customFormat="1">
      <c r="B851" s="3"/>
      <c r="C851" s="3"/>
      <c r="G851" s="4"/>
      <c r="H851" s="4"/>
      <c r="I851" s="4"/>
      <c r="J851" s="4"/>
      <c r="K851" s="4"/>
      <c r="L851" s="4"/>
      <c r="M851" s="4"/>
      <c r="N851" s="4"/>
      <c r="O851" s="6"/>
    </row>
    <row r="852" spans="2:15" s="46" customFormat="1">
      <c r="B852" s="3"/>
      <c r="C852" s="3"/>
      <c r="G852" s="4"/>
      <c r="H852" s="4"/>
      <c r="I852" s="4"/>
      <c r="J852" s="4"/>
      <c r="K852" s="4"/>
      <c r="L852" s="4"/>
      <c r="M852" s="4"/>
      <c r="N852" s="4"/>
      <c r="O852" s="6"/>
    </row>
    <row r="853" spans="2:15" s="46" customFormat="1">
      <c r="B853" s="3"/>
      <c r="C853" s="3"/>
      <c r="G853" s="4"/>
      <c r="H853" s="4"/>
      <c r="I853" s="4"/>
      <c r="J853" s="4"/>
      <c r="K853" s="4"/>
      <c r="L853" s="4"/>
      <c r="M853" s="4"/>
      <c r="N853" s="4"/>
      <c r="O853" s="6"/>
    </row>
    <row r="854" spans="2:15" s="46" customFormat="1">
      <c r="B854" s="3"/>
      <c r="C854" s="3"/>
      <c r="G854" s="4"/>
      <c r="H854" s="4"/>
      <c r="I854" s="4"/>
      <c r="J854" s="4"/>
      <c r="K854" s="4"/>
      <c r="L854" s="4"/>
      <c r="M854" s="4"/>
      <c r="N854" s="4"/>
      <c r="O854" s="6"/>
    </row>
    <row r="855" spans="2:15" s="46" customFormat="1">
      <c r="B855" s="3"/>
      <c r="C855" s="3"/>
      <c r="G855" s="4"/>
      <c r="H855" s="4"/>
      <c r="I855" s="4"/>
      <c r="J855" s="4"/>
      <c r="K855" s="4"/>
      <c r="L855" s="4"/>
      <c r="M855" s="4"/>
      <c r="N855" s="4"/>
      <c r="O855" s="6"/>
    </row>
    <row r="856" spans="2:15" s="46" customFormat="1">
      <c r="B856" s="3"/>
      <c r="C856" s="3"/>
      <c r="G856" s="4"/>
      <c r="H856" s="4"/>
      <c r="I856" s="4"/>
      <c r="J856" s="4"/>
      <c r="K856" s="4"/>
      <c r="L856" s="4"/>
      <c r="M856" s="4"/>
      <c r="N856" s="4"/>
      <c r="O856" s="6"/>
    </row>
    <row r="857" spans="2:15" s="46" customFormat="1">
      <c r="B857" s="3"/>
      <c r="C857" s="3"/>
      <c r="G857" s="4"/>
      <c r="H857" s="4"/>
      <c r="I857" s="4"/>
      <c r="J857" s="4"/>
      <c r="K857" s="4"/>
      <c r="L857" s="4"/>
      <c r="M857" s="4"/>
      <c r="N857" s="4"/>
      <c r="O857" s="6"/>
    </row>
    <row r="858" spans="2:15" s="46" customFormat="1">
      <c r="B858" s="3"/>
      <c r="C858" s="3"/>
      <c r="G858" s="4"/>
      <c r="H858" s="4"/>
      <c r="I858" s="4"/>
      <c r="J858" s="4"/>
      <c r="K858" s="4"/>
      <c r="L858" s="4"/>
      <c r="M858" s="4"/>
      <c r="N858" s="4"/>
      <c r="O858" s="6"/>
    </row>
    <row r="859" spans="2:15" s="46" customFormat="1">
      <c r="B859" s="3"/>
      <c r="C859" s="3"/>
      <c r="G859" s="4"/>
      <c r="H859" s="4"/>
      <c r="I859" s="4"/>
      <c r="J859" s="4"/>
      <c r="K859" s="4"/>
      <c r="L859" s="4"/>
      <c r="M859" s="4"/>
      <c r="N859" s="4"/>
      <c r="O859" s="6"/>
    </row>
    <row r="860" spans="2:15" s="46" customFormat="1">
      <c r="B860" s="3"/>
      <c r="C860" s="3"/>
      <c r="G860" s="4"/>
      <c r="H860" s="4"/>
      <c r="I860" s="4"/>
      <c r="J860" s="4"/>
      <c r="K860" s="4"/>
      <c r="L860" s="4"/>
      <c r="M860" s="4"/>
      <c r="N860" s="4"/>
      <c r="O860" s="6"/>
    </row>
    <row r="861" spans="2:15" s="46" customFormat="1">
      <c r="B861" s="3"/>
      <c r="C861" s="3"/>
      <c r="G861" s="4"/>
      <c r="H861" s="4"/>
      <c r="I861" s="4"/>
      <c r="J861" s="4"/>
      <c r="K861" s="4"/>
      <c r="L861" s="4"/>
      <c r="M861" s="4"/>
      <c r="N861" s="4"/>
      <c r="O861" s="6"/>
    </row>
    <row r="862" spans="2:15" s="46" customFormat="1">
      <c r="B862" s="3"/>
      <c r="C862" s="3"/>
      <c r="G862" s="4"/>
      <c r="H862" s="4"/>
      <c r="I862" s="4"/>
      <c r="J862" s="4"/>
      <c r="K862" s="4"/>
      <c r="L862" s="4"/>
      <c r="M862" s="4"/>
      <c r="N862" s="4"/>
      <c r="O862" s="6"/>
    </row>
    <row r="863" spans="2:15" s="46" customFormat="1">
      <c r="B863" s="3"/>
      <c r="C863" s="3"/>
      <c r="G863" s="4"/>
      <c r="H863" s="4"/>
      <c r="I863" s="4"/>
      <c r="J863" s="4"/>
      <c r="K863" s="4"/>
      <c r="L863" s="4"/>
      <c r="M863" s="4"/>
      <c r="N863" s="4"/>
      <c r="O863" s="6"/>
    </row>
    <row r="864" spans="2:15" s="46" customFormat="1">
      <c r="B864" s="3"/>
      <c r="C864" s="3"/>
      <c r="G864" s="4"/>
      <c r="H864" s="4"/>
      <c r="I864" s="4"/>
      <c r="J864" s="4"/>
      <c r="K864" s="4"/>
      <c r="L864" s="4"/>
      <c r="M864" s="4"/>
      <c r="N864" s="4"/>
      <c r="O864" s="6"/>
    </row>
    <row r="865" spans="2:15" s="46" customFormat="1">
      <c r="B865" s="3"/>
      <c r="C865" s="3"/>
      <c r="G865" s="4"/>
      <c r="H865" s="4"/>
      <c r="I865" s="4"/>
      <c r="J865" s="4"/>
      <c r="K865" s="4"/>
      <c r="L865" s="4"/>
      <c r="M865" s="4"/>
      <c r="N865" s="4"/>
      <c r="O865" s="6"/>
    </row>
    <row r="866" spans="2:15" s="46" customFormat="1">
      <c r="B866" s="3"/>
      <c r="C866" s="3"/>
      <c r="G866" s="4"/>
      <c r="H866" s="4"/>
      <c r="I866" s="4"/>
      <c r="J866" s="4"/>
      <c r="K866" s="4"/>
      <c r="L866" s="4"/>
      <c r="M866" s="4"/>
      <c r="N866" s="4"/>
      <c r="O866" s="6"/>
    </row>
    <row r="867" spans="2:15" s="46" customFormat="1">
      <c r="B867" s="3"/>
      <c r="C867" s="3"/>
      <c r="G867" s="4"/>
      <c r="H867" s="4"/>
      <c r="I867" s="4"/>
      <c r="J867" s="4"/>
      <c r="K867" s="4"/>
      <c r="L867" s="4"/>
      <c r="M867" s="4"/>
      <c r="N867" s="4"/>
      <c r="O867" s="6"/>
    </row>
    <row r="868" spans="2:15" s="46" customFormat="1">
      <c r="B868" s="3"/>
      <c r="C868" s="3"/>
      <c r="G868" s="4"/>
      <c r="H868" s="4"/>
      <c r="I868" s="4"/>
      <c r="J868" s="4"/>
      <c r="K868" s="4"/>
      <c r="L868" s="4"/>
      <c r="M868" s="4"/>
      <c r="N868" s="4"/>
      <c r="O868" s="6"/>
    </row>
    <row r="869" spans="2:15" s="46" customFormat="1">
      <c r="B869" s="3"/>
      <c r="C869" s="3"/>
      <c r="G869" s="4"/>
      <c r="H869" s="4"/>
      <c r="I869" s="4"/>
      <c r="J869" s="4"/>
      <c r="K869" s="4"/>
      <c r="L869" s="4"/>
      <c r="M869" s="4"/>
      <c r="N869" s="4"/>
      <c r="O869" s="6"/>
    </row>
    <row r="870" spans="2:15" s="46" customFormat="1">
      <c r="B870" s="3"/>
      <c r="C870" s="3"/>
      <c r="G870" s="4"/>
      <c r="H870" s="4"/>
      <c r="I870" s="4"/>
      <c r="J870" s="4"/>
      <c r="K870" s="4"/>
      <c r="L870" s="4"/>
      <c r="M870" s="4"/>
      <c r="N870" s="4"/>
      <c r="O870" s="6"/>
    </row>
    <row r="871" spans="2:15" s="46" customFormat="1">
      <c r="B871" s="3"/>
      <c r="C871" s="3"/>
      <c r="G871" s="4"/>
      <c r="H871" s="4"/>
      <c r="I871" s="4"/>
      <c r="J871" s="4"/>
      <c r="K871" s="4"/>
      <c r="L871" s="4"/>
      <c r="M871" s="4"/>
      <c r="N871" s="4"/>
      <c r="O871" s="6"/>
    </row>
    <row r="872" spans="2:15" s="46" customFormat="1">
      <c r="B872" s="3"/>
      <c r="C872" s="3"/>
      <c r="G872" s="4"/>
      <c r="H872" s="4"/>
      <c r="I872" s="4"/>
      <c r="J872" s="4"/>
      <c r="K872" s="4"/>
      <c r="L872" s="4"/>
      <c r="M872" s="4"/>
      <c r="N872" s="4"/>
      <c r="O872" s="6"/>
    </row>
    <row r="873" spans="2:15" s="46" customFormat="1">
      <c r="B873" s="3"/>
      <c r="C873" s="3"/>
      <c r="G873" s="4"/>
      <c r="H873" s="4"/>
      <c r="I873" s="4"/>
      <c r="J873" s="4"/>
      <c r="K873" s="4"/>
      <c r="L873" s="4"/>
      <c r="M873" s="4"/>
      <c r="N873" s="4"/>
      <c r="O873" s="6"/>
    </row>
    <row r="874" spans="2:15" s="46" customFormat="1">
      <c r="B874" s="3"/>
      <c r="C874" s="3"/>
      <c r="G874" s="4"/>
      <c r="H874" s="4"/>
      <c r="I874" s="4"/>
      <c r="J874" s="4"/>
      <c r="K874" s="4"/>
      <c r="L874" s="4"/>
      <c r="M874" s="4"/>
      <c r="N874" s="4"/>
      <c r="O874" s="6"/>
    </row>
    <row r="875" spans="2:15" s="46" customFormat="1">
      <c r="B875" s="3"/>
      <c r="C875" s="3"/>
      <c r="G875" s="4"/>
      <c r="H875" s="4"/>
      <c r="I875" s="4"/>
      <c r="J875" s="4"/>
      <c r="K875" s="4"/>
      <c r="L875" s="4"/>
      <c r="M875" s="4"/>
      <c r="N875" s="4"/>
      <c r="O875" s="6"/>
    </row>
    <row r="876" spans="2:15" s="46" customFormat="1">
      <c r="B876" s="3"/>
      <c r="C876" s="3"/>
      <c r="G876" s="4"/>
      <c r="H876" s="4"/>
      <c r="I876" s="4"/>
      <c r="J876" s="4"/>
      <c r="K876" s="4"/>
      <c r="L876" s="4"/>
      <c r="M876" s="4"/>
      <c r="N876" s="4"/>
      <c r="O876" s="6"/>
    </row>
    <row r="877" spans="2:15" s="46" customFormat="1">
      <c r="B877" s="3"/>
      <c r="C877" s="3"/>
      <c r="G877" s="4"/>
      <c r="H877" s="4"/>
      <c r="I877" s="4"/>
      <c r="J877" s="4"/>
      <c r="K877" s="4"/>
      <c r="L877" s="4"/>
      <c r="M877" s="4"/>
      <c r="N877" s="4"/>
      <c r="O877" s="6"/>
    </row>
    <row r="878" spans="2:15" s="46" customFormat="1">
      <c r="B878" s="3"/>
      <c r="C878" s="3"/>
      <c r="G878" s="4"/>
      <c r="H878" s="4"/>
      <c r="I878" s="4"/>
      <c r="J878" s="4"/>
      <c r="K878" s="4"/>
      <c r="L878" s="4"/>
      <c r="M878" s="4"/>
      <c r="N878" s="4"/>
      <c r="O878" s="6"/>
    </row>
    <row r="879" spans="2:15" s="46" customFormat="1">
      <c r="B879" s="3"/>
      <c r="C879" s="3"/>
      <c r="G879" s="4"/>
      <c r="H879" s="4"/>
      <c r="I879" s="4"/>
      <c r="J879" s="4"/>
      <c r="K879" s="4"/>
      <c r="L879" s="4"/>
      <c r="M879" s="4"/>
      <c r="N879" s="4"/>
      <c r="O879" s="6"/>
    </row>
    <row r="880" spans="2:15" s="46" customFormat="1">
      <c r="B880" s="3"/>
      <c r="C880" s="3"/>
      <c r="G880" s="4"/>
      <c r="H880" s="4"/>
      <c r="I880" s="4"/>
      <c r="J880" s="4"/>
      <c r="K880" s="4"/>
      <c r="L880" s="4"/>
      <c r="M880" s="4"/>
      <c r="N880" s="4"/>
      <c r="O880" s="6"/>
    </row>
    <row r="881" spans="2:15" s="46" customFormat="1">
      <c r="B881" s="3"/>
      <c r="C881" s="3"/>
      <c r="G881" s="4"/>
      <c r="H881" s="4"/>
      <c r="I881" s="4"/>
      <c r="J881" s="4"/>
      <c r="K881" s="4"/>
      <c r="L881" s="4"/>
      <c r="M881" s="4"/>
      <c r="N881" s="4"/>
      <c r="O881" s="6"/>
    </row>
    <row r="882" spans="2:15" s="46" customFormat="1">
      <c r="B882" s="3"/>
      <c r="C882" s="3"/>
      <c r="G882" s="4"/>
      <c r="H882" s="4"/>
      <c r="I882" s="4"/>
      <c r="J882" s="4"/>
      <c r="K882" s="4"/>
      <c r="L882" s="4"/>
      <c r="M882" s="4"/>
      <c r="N882" s="4"/>
      <c r="O882" s="6"/>
    </row>
    <row r="883" spans="2:15" s="46" customFormat="1">
      <c r="B883" s="3"/>
      <c r="C883" s="3"/>
      <c r="G883" s="4"/>
      <c r="H883" s="4"/>
      <c r="I883" s="4"/>
      <c r="J883" s="4"/>
      <c r="K883" s="4"/>
      <c r="L883" s="4"/>
      <c r="M883" s="4"/>
      <c r="N883" s="4"/>
      <c r="O883" s="6"/>
    </row>
    <row r="884" spans="2:15" s="46" customFormat="1">
      <c r="B884" s="3"/>
      <c r="C884" s="3"/>
      <c r="G884" s="4"/>
      <c r="H884" s="4"/>
      <c r="I884" s="4"/>
      <c r="J884" s="4"/>
      <c r="K884" s="4"/>
      <c r="L884" s="4"/>
      <c r="M884" s="4"/>
      <c r="N884" s="4"/>
      <c r="O884" s="6"/>
    </row>
    <row r="885" spans="2:15" s="46" customFormat="1">
      <c r="B885" s="3"/>
      <c r="C885" s="3"/>
      <c r="G885" s="4"/>
      <c r="H885" s="4"/>
      <c r="I885" s="4"/>
      <c r="J885" s="4"/>
      <c r="K885" s="4"/>
      <c r="L885" s="4"/>
      <c r="M885" s="4"/>
      <c r="N885" s="4"/>
      <c r="O885" s="6"/>
    </row>
    <row r="886" spans="2:15" s="46" customFormat="1">
      <c r="B886" s="3"/>
      <c r="C886" s="3"/>
      <c r="G886" s="4"/>
      <c r="H886" s="4"/>
      <c r="I886" s="4"/>
      <c r="J886" s="4"/>
      <c r="K886" s="4"/>
      <c r="L886" s="4"/>
      <c r="M886" s="4"/>
      <c r="N886" s="4"/>
      <c r="O886" s="6"/>
    </row>
    <row r="887" spans="2:15" s="46" customFormat="1">
      <c r="B887" s="3"/>
      <c r="C887" s="3"/>
      <c r="G887" s="4"/>
      <c r="H887" s="4"/>
      <c r="I887" s="4"/>
      <c r="J887" s="4"/>
      <c r="K887" s="4"/>
      <c r="L887" s="4"/>
      <c r="M887" s="4"/>
      <c r="N887" s="4"/>
      <c r="O887" s="6"/>
    </row>
    <row r="888" spans="2:15" s="46" customFormat="1">
      <c r="B888" s="3"/>
      <c r="C888" s="3"/>
      <c r="G888" s="4"/>
      <c r="H888" s="4"/>
      <c r="I888" s="4"/>
      <c r="J888" s="4"/>
      <c r="K888" s="4"/>
      <c r="L888" s="4"/>
      <c r="M888" s="4"/>
      <c r="N888" s="4"/>
      <c r="O888" s="6"/>
    </row>
    <row r="889" spans="2:15" s="46" customFormat="1">
      <c r="B889" s="3"/>
      <c r="C889" s="3"/>
      <c r="G889" s="4"/>
      <c r="H889" s="4"/>
      <c r="I889" s="4"/>
      <c r="J889" s="4"/>
      <c r="K889" s="4"/>
      <c r="L889" s="4"/>
      <c r="M889" s="4"/>
      <c r="N889" s="4"/>
      <c r="O889" s="6"/>
    </row>
    <row r="890" spans="2:15" s="46" customFormat="1">
      <c r="B890" s="3"/>
      <c r="C890" s="3"/>
      <c r="G890" s="4"/>
      <c r="H890" s="4"/>
      <c r="I890" s="4"/>
      <c r="J890" s="4"/>
      <c r="K890" s="4"/>
      <c r="L890" s="4"/>
      <c r="M890" s="4"/>
      <c r="N890" s="4"/>
      <c r="O890" s="6"/>
    </row>
    <row r="891" spans="2:15" s="46" customFormat="1">
      <c r="B891" s="3"/>
      <c r="C891" s="3"/>
      <c r="G891" s="4"/>
      <c r="H891" s="4"/>
      <c r="I891" s="4"/>
      <c r="J891" s="4"/>
      <c r="K891" s="4"/>
      <c r="L891" s="4"/>
      <c r="M891" s="4"/>
      <c r="N891" s="4"/>
      <c r="O891" s="6"/>
    </row>
    <row r="892" spans="2:15" s="46" customFormat="1">
      <c r="B892" s="3"/>
      <c r="C892" s="3"/>
      <c r="G892" s="4"/>
      <c r="H892" s="4"/>
      <c r="I892" s="4"/>
      <c r="J892" s="4"/>
      <c r="K892" s="4"/>
      <c r="L892" s="4"/>
      <c r="M892" s="4"/>
      <c r="N892" s="4"/>
      <c r="O892" s="6"/>
    </row>
    <row r="893" spans="2:15" s="46" customFormat="1">
      <c r="B893" s="3"/>
      <c r="C893" s="3"/>
      <c r="G893" s="4"/>
      <c r="H893" s="4"/>
      <c r="I893" s="4"/>
      <c r="J893" s="4"/>
      <c r="K893" s="4"/>
      <c r="L893" s="4"/>
      <c r="M893" s="4"/>
      <c r="N893" s="4"/>
      <c r="O893" s="6"/>
    </row>
    <row r="894" spans="2:15" s="46" customFormat="1">
      <c r="B894" s="3"/>
      <c r="C894" s="3"/>
      <c r="G894" s="4"/>
      <c r="H894" s="4"/>
      <c r="I894" s="4"/>
      <c r="J894" s="4"/>
      <c r="K894" s="4"/>
      <c r="L894" s="4"/>
      <c r="M894" s="4"/>
      <c r="N894" s="4"/>
      <c r="O894" s="6"/>
    </row>
    <row r="895" spans="2:15" s="46" customFormat="1">
      <c r="B895" s="3"/>
      <c r="C895" s="3"/>
      <c r="G895" s="4"/>
      <c r="H895" s="4"/>
      <c r="I895" s="4"/>
      <c r="J895" s="4"/>
      <c r="K895" s="4"/>
      <c r="L895" s="4"/>
      <c r="M895" s="4"/>
      <c r="N895" s="4"/>
      <c r="O895" s="6"/>
    </row>
    <row r="896" spans="2:15" s="46" customFormat="1">
      <c r="B896" s="3"/>
      <c r="C896" s="3"/>
      <c r="G896" s="4"/>
      <c r="H896" s="4"/>
      <c r="I896" s="4"/>
      <c r="J896" s="4"/>
      <c r="K896" s="4"/>
      <c r="L896" s="4"/>
      <c r="M896" s="4"/>
      <c r="N896" s="4"/>
      <c r="O896" s="6"/>
    </row>
    <row r="897" spans="2:15" s="46" customFormat="1">
      <c r="B897" s="3"/>
      <c r="C897" s="3"/>
      <c r="G897" s="4"/>
      <c r="H897" s="4"/>
      <c r="I897" s="4"/>
      <c r="J897" s="4"/>
      <c r="K897" s="4"/>
      <c r="L897" s="4"/>
      <c r="M897" s="4"/>
      <c r="N897" s="4"/>
      <c r="O897" s="6"/>
    </row>
    <row r="898" spans="2:15" s="46" customFormat="1">
      <c r="B898" s="3"/>
      <c r="C898" s="3"/>
      <c r="G898" s="4"/>
      <c r="H898" s="4"/>
      <c r="I898" s="4"/>
      <c r="J898" s="4"/>
      <c r="K898" s="4"/>
      <c r="L898" s="4"/>
      <c r="M898" s="4"/>
      <c r="N898" s="4"/>
      <c r="O898" s="6"/>
    </row>
    <row r="899" spans="2:15" s="46" customFormat="1">
      <c r="B899" s="3"/>
      <c r="C899" s="3"/>
      <c r="G899" s="4"/>
      <c r="H899" s="4"/>
      <c r="I899" s="4"/>
      <c r="J899" s="4"/>
      <c r="K899" s="4"/>
      <c r="L899" s="4"/>
      <c r="M899" s="4"/>
      <c r="N899" s="4"/>
      <c r="O899" s="6"/>
    </row>
    <row r="900" spans="2:15" s="46" customFormat="1">
      <c r="B900" s="3"/>
      <c r="C900" s="3"/>
      <c r="G900" s="4"/>
      <c r="H900" s="4"/>
      <c r="I900" s="4"/>
      <c r="J900" s="4"/>
      <c r="K900" s="4"/>
      <c r="L900" s="4"/>
      <c r="M900" s="4"/>
      <c r="N900" s="4"/>
      <c r="O900" s="6"/>
    </row>
    <row r="901" spans="2:15" s="46" customFormat="1">
      <c r="B901" s="3"/>
      <c r="C901" s="3"/>
      <c r="G901" s="4"/>
      <c r="H901" s="4"/>
      <c r="I901" s="4"/>
      <c r="J901" s="4"/>
      <c r="K901" s="4"/>
      <c r="L901" s="4"/>
      <c r="M901" s="4"/>
      <c r="N901" s="4"/>
      <c r="O901" s="6"/>
    </row>
    <row r="902" spans="2:15" s="46" customFormat="1">
      <c r="B902" s="3"/>
      <c r="C902" s="3"/>
      <c r="G902" s="4"/>
      <c r="H902" s="4"/>
      <c r="I902" s="4"/>
      <c r="J902" s="4"/>
      <c r="K902" s="4"/>
      <c r="L902" s="4"/>
      <c r="M902" s="4"/>
      <c r="N902" s="4"/>
      <c r="O902" s="6"/>
    </row>
    <row r="903" spans="2:15" s="46" customFormat="1">
      <c r="B903" s="3"/>
      <c r="C903" s="3"/>
      <c r="G903" s="4"/>
      <c r="H903" s="4"/>
      <c r="I903" s="4"/>
      <c r="J903" s="4"/>
      <c r="K903" s="4"/>
      <c r="L903" s="4"/>
      <c r="M903" s="4"/>
      <c r="N903" s="4"/>
      <c r="O903" s="6"/>
    </row>
    <row r="904" spans="2:15" s="46" customFormat="1">
      <c r="B904" s="3"/>
      <c r="C904" s="3"/>
      <c r="G904" s="4"/>
      <c r="H904" s="4"/>
      <c r="I904" s="4"/>
      <c r="J904" s="4"/>
      <c r="K904" s="4"/>
      <c r="L904" s="4"/>
      <c r="M904" s="4"/>
      <c r="N904" s="4"/>
      <c r="O904" s="6"/>
    </row>
    <row r="905" spans="2:15" s="46" customFormat="1">
      <c r="B905" s="3"/>
      <c r="C905" s="3"/>
      <c r="G905" s="4"/>
      <c r="H905" s="4"/>
      <c r="I905" s="4"/>
      <c r="J905" s="4"/>
      <c r="K905" s="4"/>
      <c r="L905" s="4"/>
      <c r="M905" s="4"/>
      <c r="N905" s="4"/>
      <c r="O905" s="6"/>
    </row>
    <row r="906" spans="2:15" s="46" customFormat="1">
      <c r="B906" s="3"/>
      <c r="C906" s="3"/>
      <c r="G906" s="4"/>
      <c r="H906" s="4"/>
      <c r="I906" s="4"/>
      <c r="J906" s="4"/>
      <c r="K906" s="4"/>
      <c r="L906" s="4"/>
      <c r="M906" s="4"/>
      <c r="N906" s="4"/>
      <c r="O906" s="6"/>
    </row>
    <row r="907" spans="2:15" s="46" customFormat="1">
      <c r="B907" s="3"/>
      <c r="C907" s="3"/>
      <c r="G907" s="4"/>
      <c r="H907" s="4"/>
      <c r="I907" s="4"/>
      <c r="J907" s="4"/>
      <c r="K907" s="4"/>
      <c r="L907" s="4"/>
      <c r="M907" s="4"/>
      <c r="N907" s="4"/>
      <c r="O907" s="6"/>
    </row>
    <row r="908" spans="2:15" s="46" customFormat="1">
      <c r="B908" s="3"/>
      <c r="C908" s="3"/>
      <c r="G908" s="4"/>
      <c r="H908" s="4"/>
      <c r="I908" s="4"/>
      <c r="J908" s="4"/>
      <c r="K908" s="4"/>
      <c r="L908" s="4"/>
      <c r="M908" s="4"/>
      <c r="N908" s="4"/>
      <c r="O908" s="6"/>
    </row>
    <row r="909" spans="2:15" s="46" customFormat="1">
      <c r="B909" s="3"/>
      <c r="C909" s="3"/>
      <c r="G909" s="4"/>
      <c r="H909" s="4"/>
      <c r="I909" s="4"/>
      <c r="J909" s="4"/>
      <c r="K909" s="4"/>
      <c r="L909" s="4"/>
      <c r="M909" s="4"/>
      <c r="N909" s="4"/>
      <c r="O909" s="6"/>
    </row>
    <row r="910" spans="2:15" s="46" customFormat="1">
      <c r="B910" s="3"/>
      <c r="C910" s="3"/>
      <c r="G910" s="4"/>
      <c r="H910" s="4"/>
      <c r="I910" s="4"/>
      <c r="J910" s="4"/>
      <c r="K910" s="4"/>
      <c r="L910" s="4"/>
      <c r="M910" s="4"/>
      <c r="N910" s="4"/>
      <c r="O910" s="6"/>
    </row>
    <row r="911" spans="2:15" s="46" customFormat="1">
      <c r="B911" s="3"/>
      <c r="C911" s="3"/>
      <c r="G911" s="4"/>
      <c r="H911" s="4"/>
      <c r="I911" s="4"/>
      <c r="J911" s="4"/>
      <c r="K911" s="4"/>
      <c r="L911" s="4"/>
      <c r="M911" s="4"/>
      <c r="N911" s="4"/>
      <c r="O911" s="6"/>
    </row>
    <row r="912" spans="2:15" s="46" customFormat="1">
      <c r="B912" s="3"/>
      <c r="C912" s="3"/>
      <c r="G912" s="4"/>
      <c r="H912" s="4"/>
      <c r="I912" s="4"/>
      <c r="J912" s="4"/>
      <c r="K912" s="4"/>
      <c r="L912" s="4"/>
      <c r="M912" s="4"/>
      <c r="N912" s="4"/>
      <c r="O912" s="6"/>
    </row>
    <row r="913" spans="2:15" s="46" customFormat="1">
      <c r="B913" s="3"/>
      <c r="C913" s="3"/>
      <c r="G913" s="4"/>
      <c r="H913" s="4"/>
      <c r="I913" s="4"/>
      <c r="J913" s="4"/>
      <c r="K913" s="4"/>
      <c r="L913" s="4"/>
      <c r="M913" s="4"/>
      <c r="N913" s="4"/>
      <c r="O913" s="6"/>
    </row>
    <row r="914" spans="2:15" s="46" customFormat="1">
      <c r="B914" s="3"/>
      <c r="C914" s="3"/>
      <c r="G914" s="4"/>
      <c r="H914" s="4"/>
      <c r="I914" s="4"/>
      <c r="J914" s="4"/>
      <c r="K914" s="4"/>
      <c r="L914" s="4"/>
      <c r="M914" s="4"/>
      <c r="N914" s="4"/>
      <c r="O914" s="6"/>
    </row>
    <row r="915" spans="2:15" s="46" customFormat="1">
      <c r="B915" s="3"/>
      <c r="C915" s="3"/>
      <c r="G915" s="4"/>
      <c r="H915" s="4"/>
      <c r="I915" s="4"/>
      <c r="J915" s="4"/>
      <c r="K915" s="4"/>
      <c r="L915" s="4"/>
      <c r="M915" s="4"/>
      <c r="N915" s="4"/>
      <c r="O915" s="6"/>
    </row>
    <row r="916" spans="2:15" s="46" customFormat="1">
      <c r="B916" s="3"/>
      <c r="C916" s="3"/>
      <c r="G916" s="4"/>
      <c r="H916" s="4"/>
      <c r="I916" s="4"/>
      <c r="J916" s="4"/>
      <c r="K916" s="4"/>
      <c r="L916" s="4"/>
      <c r="M916" s="4"/>
      <c r="N916" s="4"/>
      <c r="O916" s="6"/>
    </row>
    <row r="917" spans="2:15" s="46" customFormat="1">
      <c r="B917" s="3"/>
      <c r="C917" s="3"/>
      <c r="G917" s="4"/>
      <c r="H917" s="4"/>
      <c r="I917" s="4"/>
      <c r="J917" s="4"/>
      <c r="K917" s="4"/>
      <c r="L917" s="4"/>
      <c r="M917" s="4"/>
      <c r="N917" s="4"/>
      <c r="O917" s="6"/>
    </row>
    <row r="918" spans="2:15" s="46" customFormat="1">
      <c r="B918" s="3"/>
      <c r="C918" s="3"/>
      <c r="G918" s="4"/>
      <c r="H918" s="4"/>
      <c r="I918" s="4"/>
      <c r="J918" s="4"/>
      <c r="K918" s="4"/>
      <c r="L918" s="4"/>
      <c r="M918" s="4"/>
      <c r="N918" s="4"/>
      <c r="O918" s="6"/>
    </row>
    <row r="919" spans="2:15" s="46" customFormat="1">
      <c r="B919" s="3"/>
      <c r="C919" s="3"/>
      <c r="G919" s="4"/>
      <c r="H919" s="4"/>
      <c r="I919" s="4"/>
      <c r="J919" s="4"/>
      <c r="K919" s="4"/>
      <c r="L919" s="4"/>
      <c r="M919" s="4"/>
      <c r="N919" s="4"/>
      <c r="O919" s="6"/>
    </row>
    <row r="920" spans="2:15" s="46" customFormat="1">
      <c r="B920" s="3"/>
      <c r="C920" s="3"/>
      <c r="G920" s="4"/>
      <c r="H920" s="4"/>
      <c r="I920" s="4"/>
      <c r="J920" s="4"/>
      <c r="K920" s="4"/>
      <c r="L920" s="4"/>
      <c r="M920" s="4"/>
      <c r="N920" s="4"/>
      <c r="O920" s="6"/>
    </row>
    <row r="921" spans="2:15" s="46" customFormat="1">
      <c r="B921" s="3"/>
      <c r="C921" s="3"/>
      <c r="G921" s="4"/>
      <c r="H921" s="4"/>
      <c r="I921" s="4"/>
      <c r="J921" s="4"/>
      <c r="K921" s="4"/>
      <c r="L921" s="4"/>
      <c r="M921" s="4"/>
      <c r="N921" s="4"/>
      <c r="O921" s="6"/>
    </row>
    <row r="922" spans="2:15" s="46" customFormat="1">
      <c r="B922" s="3"/>
      <c r="C922" s="3"/>
      <c r="G922" s="4"/>
      <c r="H922" s="4"/>
      <c r="I922" s="4"/>
      <c r="J922" s="4"/>
      <c r="K922" s="4"/>
      <c r="L922" s="4"/>
      <c r="M922" s="4"/>
      <c r="N922" s="4"/>
      <c r="O922" s="6"/>
    </row>
    <row r="923" spans="2:15" s="46" customFormat="1">
      <c r="B923" s="3"/>
      <c r="C923" s="3"/>
      <c r="G923" s="4"/>
      <c r="H923" s="4"/>
      <c r="I923" s="4"/>
      <c r="J923" s="4"/>
      <c r="K923" s="4"/>
      <c r="L923" s="4"/>
      <c r="M923" s="4"/>
      <c r="N923" s="4"/>
      <c r="O923" s="6"/>
    </row>
    <row r="924" spans="2:15" s="46" customFormat="1">
      <c r="B924" s="3"/>
      <c r="C924" s="3"/>
      <c r="G924" s="4"/>
      <c r="H924" s="4"/>
      <c r="I924" s="4"/>
      <c r="J924" s="4"/>
      <c r="K924" s="4"/>
      <c r="L924" s="4"/>
      <c r="M924" s="4"/>
      <c r="N924" s="4"/>
      <c r="O924" s="6"/>
    </row>
    <row r="925" spans="2:15" s="46" customFormat="1">
      <c r="B925" s="3"/>
      <c r="C925" s="3"/>
      <c r="G925" s="4"/>
      <c r="H925" s="4"/>
      <c r="I925" s="4"/>
      <c r="J925" s="4"/>
      <c r="K925" s="4"/>
      <c r="L925" s="4"/>
      <c r="M925" s="4"/>
      <c r="N925" s="4"/>
      <c r="O925" s="6"/>
    </row>
    <row r="926" spans="2:15" s="46" customFormat="1">
      <c r="B926" s="3"/>
      <c r="C926" s="3"/>
      <c r="G926" s="4"/>
      <c r="H926" s="4"/>
      <c r="I926" s="4"/>
      <c r="J926" s="4"/>
      <c r="K926" s="4"/>
      <c r="L926" s="4"/>
      <c r="M926" s="4"/>
      <c r="N926" s="4"/>
      <c r="O926" s="6"/>
    </row>
    <row r="927" spans="2:15" s="46" customFormat="1">
      <c r="B927" s="3"/>
      <c r="C927" s="3"/>
      <c r="G927" s="4"/>
      <c r="H927" s="4"/>
      <c r="I927" s="4"/>
      <c r="J927" s="4"/>
      <c r="K927" s="4"/>
      <c r="L927" s="4"/>
      <c r="M927" s="4"/>
      <c r="N927" s="4"/>
      <c r="O927" s="6"/>
    </row>
    <row r="928" spans="2:15" s="46" customFormat="1">
      <c r="B928" s="3"/>
      <c r="C928" s="3"/>
      <c r="G928" s="4"/>
      <c r="H928" s="4"/>
      <c r="I928" s="4"/>
      <c r="J928" s="4"/>
      <c r="K928" s="4"/>
      <c r="L928" s="4"/>
      <c r="M928" s="4"/>
      <c r="N928" s="4"/>
      <c r="O928" s="6"/>
    </row>
    <row r="929" spans="2:15" s="46" customFormat="1">
      <c r="B929" s="3"/>
      <c r="C929" s="3"/>
      <c r="G929" s="4"/>
      <c r="H929" s="4"/>
      <c r="I929" s="4"/>
      <c r="J929" s="4"/>
      <c r="K929" s="4"/>
      <c r="L929" s="4"/>
      <c r="M929" s="4"/>
      <c r="N929" s="4"/>
      <c r="O929" s="6"/>
    </row>
    <row r="930" spans="2:15" s="46" customFormat="1">
      <c r="B930" s="3"/>
      <c r="C930" s="3"/>
      <c r="G930" s="4"/>
      <c r="H930" s="4"/>
      <c r="I930" s="4"/>
      <c r="J930" s="4"/>
      <c r="K930" s="4"/>
      <c r="L930" s="4"/>
      <c r="M930" s="4"/>
      <c r="N930" s="4"/>
      <c r="O930" s="6"/>
    </row>
    <row r="931" spans="2:15" s="46" customFormat="1">
      <c r="B931" s="3"/>
      <c r="C931" s="3"/>
      <c r="G931" s="4"/>
      <c r="H931" s="4"/>
      <c r="I931" s="4"/>
      <c r="J931" s="4"/>
      <c r="K931" s="4"/>
      <c r="L931" s="4"/>
      <c r="M931" s="4"/>
      <c r="N931" s="4"/>
      <c r="O931" s="6"/>
    </row>
    <row r="932" spans="2:15" s="46" customFormat="1">
      <c r="B932" s="3"/>
      <c r="C932" s="3"/>
      <c r="G932" s="4"/>
      <c r="H932" s="4"/>
      <c r="I932" s="4"/>
      <c r="J932" s="4"/>
      <c r="K932" s="4"/>
      <c r="L932" s="4"/>
      <c r="M932" s="4"/>
      <c r="N932" s="4"/>
      <c r="O932" s="6"/>
    </row>
    <row r="933" spans="2:15" s="46" customFormat="1">
      <c r="B933" s="3"/>
      <c r="C933" s="3"/>
      <c r="G933" s="4"/>
      <c r="H933" s="4"/>
      <c r="I933" s="4"/>
      <c r="J933" s="4"/>
      <c r="K933" s="4"/>
      <c r="L933" s="4"/>
      <c r="M933" s="4"/>
      <c r="N933" s="4"/>
      <c r="O933" s="6"/>
    </row>
    <row r="934" spans="2:15" s="46" customFormat="1">
      <c r="B934" s="3"/>
      <c r="C934" s="3"/>
      <c r="G934" s="4"/>
      <c r="H934" s="4"/>
      <c r="I934" s="4"/>
      <c r="J934" s="4"/>
      <c r="K934" s="4"/>
      <c r="L934" s="4"/>
      <c r="M934" s="4"/>
      <c r="N934" s="4"/>
      <c r="O934" s="6"/>
    </row>
    <row r="935" spans="2:15" s="46" customFormat="1">
      <c r="B935" s="3"/>
      <c r="C935" s="3"/>
      <c r="G935" s="4"/>
      <c r="H935" s="4"/>
      <c r="I935" s="4"/>
      <c r="J935" s="4"/>
      <c r="K935" s="4"/>
      <c r="L935" s="4"/>
      <c r="M935" s="4"/>
      <c r="N935" s="4"/>
      <c r="O935" s="6"/>
    </row>
    <row r="936" spans="2:15" s="46" customFormat="1">
      <c r="B936" s="3"/>
      <c r="C936" s="3"/>
      <c r="G936" s="4"/>
      <c r="H936" s="4"/>
      <c r="I936" s="4"/>
      <c r="J936" s="4"/>
      <c r="K936" s="4"/>
      <c r="L936" s="4"/>
      <c r="M936" s="4"/>
      <c r="N936" s="4"/>
      <c r="O936" s="6"/>
    </row>
    <row r="937" spans="2:15" s="46" customFormat="1">
      <c r="B937" s="3"/>
      <c r="C937" s="3"/>
      <c r="G937" s="4"/>
      <c r="H937" s="4"/>
      <c r="I937" s="4"/>
      <c r="J937" s="4"/>
      <c r="K937" s="4"/>
      <c r="L937" s="4"/>
      <c r="M937" s="4"/>
      <c r="N937" s="4"/>
      <c r="O937" s="6"/>
    </row>
    <row r="938" spans="2:15" s="46" customFormat="1">
      <c r="B938" s="3"/>
      <c r="C938" s="3"/>
      <c r="G938" s="4"/>
      <c r="H938" s="4"/>
      <c r="I938" s="4"/>
      <c r="J938" s="4"/>
      <c r="K938" s="4"/>
      <c r="L938" s="4"/>
      <c r="M938" s="4"/>
      <c r="N938" s="4"/>
      <c r="O938" s="6"/>
    </row>
    <row r="939" spans="2:15" s="46" customFormat="1">
      <c r="B939" s="3"/>
      <c r="C939" s="3"/>
      <c r="G939" s="4"/>
      <c r="H939" s="4"/>
      <c r="I939" s="4"/>
      <c r="J939" s="4"/>
      <c r="K939" s="4"/>
      <c r="L939" s="4"/>
      <c r="M939" s="4"/>
      <c r="N939" s="4"/>
      <c r="O939" s="6"/>
    </row>
    <row r="940" spans="2:15" s="46" customFormat="1">
      <c r="B940" s="3"/>
      <c r="C940" s="3"/>
      <c r="G940" s="4"/>
      <c r="H940" s="4"/>
      <c r="I940" s="4"/>
      <c r="J940" s="4"/>
      <c r="K940" s="4"/>
      <c r="L940" s="4"/>
      <c r="M940" s="4"/>
      <c r="N940" s="4"/>
      <c r="O940" s="6"/>
    </row>
    <row r="941" spans="2:15" s="46" customFormat="1">
      <c r="B941" s="3"/>
      <c r="C941" s="3"/>
      <c r="G941" s="4"/>
      <c r="H941" s="4"/>
      <c r="I941" s="4"/>
      <c r="J941" s="4"/>
      <c r="K941" s="4"/>
      <c r="L941" s="4"/>
      <c r="M941" s="4"/>
      <c r="N941" s="4"/>
      <c r="O941" s="6"/>
    </row>
    <row r="942" spans="2:15" s="46" customFormat="1">
      <c r="B942" s="3"/>
      <c r="C942" s="3"/>
      <c r="G942" s="4"/>
      <c r="H942" s="4"/>
      <c r="I942" s="4"/>
      <c r="J942" s="4"/>
      <c r="K942" s="4"/>
      <c r="L942" s="4"/>
      <c r="M942" s="4"/>
      <c r="N942" s="4"/>
      <c r="O942" s="6"/>
    </row>
    <row r="943" spans="2:15" s="46" customFormat="1">
      <c r="B943" s="3"/>
      <c r="C943" s="3"/>
      <c r="G943" s="4"/>
      <c r="H943" s="4"/>
      <c r="I943" s="4"/>
      <c r="J943" s="4"/>
      <c r="K943" s="4"/>
      <c r="L943" s="4"/>
      <c r="M943" s="4"/>
      <c r="N943" s="4"/>
      <c r="O943" s="6"/>
    </row>
    <row r="944" spans="2:15" s="46" customFormat="1">
      <c r="B944" s="3"/>
      <c r="C944" s="3"/>
      <c r="G944" s="4"/>
      <c r="H944" s="4"/>
      <c r="I944" s="4"/>
      <c r="J944" s="4"/>
      <c r="K944" s="4"/>
      <c r="L944" s="4"/>
      <c r="M944" s="4"/>
      <c r="N944" s="4"/>
      <c r="O944" s="6"/>
    </row>
    <row r="945" spans="2:15" s="46" customFormat="1">
      <c r="B945" s="3"/>
      <c r="C945" s="3"/>
      <c r="G945" s="4"/>
      <c r="H945" s="4"/>
      <c r="I945" s="4"/>
      <c r="J945" s="4"/>
      <c r="K945" s="4"/>
      <c r="L945" s="4"/>
      <c r="M945" s="4"/>
      <c r="N945" s="4"/>
      <c r="O945" s="6"/>
    </row>
    <row r="946" spans="2:15" s="46" customFormat="1">
      <c r="B946" s="3"/>
      <c r="C946" s="3"/>
      <c r="G946" s="4"/>
      <c r="H946" s="4"/>
      <c r="I946" s="4"/>
      <c r="J946" s="4"/>
      <c r="K946" s="4"/>
      <c r="L946" s="4"/>
      <c r="M946" s="4"/>
      <c r="N946" s="4"/>
      <c r="O946" s="6"/>
    </row>
    <row r="947" spans="2:15" s="46" customFormat="1">
      <c r="B947" s="3"/>
      <c r="C947" s="3"/>
      <c r="G947" s="4"/>
      <c r="H947" s="4"/>
      <c r="I947" s="4"/>
      <c r="J947" s="4"/>
      <c r="K947" s="4"/>
      <c r="L947" s="4"/>
      <c r="M947" s="4"/>
      <c r="N947" s="4"/>
      <c r="O947" s="6"/>
    </row>
    <row r="948" spans="2:15" s="46" customFormat="1">
      <c r="B948" s="3"/>
      <c r="C948" s="3"/>
      <c r="G948" s="4"/>
      <c r="H948" s="4"/>
      <c r="I948" s="4"/>
      <c r="J948" s="4"/>
      <c r="K948" s="4"/>
      <c r="L948" s="4"/>
      <c r="M948" s="4"/>
      <c r="N948" s="4"/>
      <c r="O948" s="6"/>
    </row>
    <row r="949" spans="2:15" s="46" customFormat="1">
      <c r="B949" s="3"/>
      <c r="C949" s="3"/>
      <c r="G949" s="4"/>
      <c r="H949" s="4"/>
      <c r="I949" s="4"/>
      <c r="J949" s="4"/>
      <c r="K949" s="4"/>
      <c r="L949" s="4"/>
      <c r="M949" s="4"/>
      <c r="N949" s="4"/>
      <c r="O949" s="6"/>
    </row>
    <row r="950" spans="2:15" s="46" customFormat="1">
      <c r="B950" s="3"/>
      <c r="C950" s="3"/>
      <c r="G950" s="4"/>
      <c r="H950" s="4"/>
      <c r="I950" s="4"/>
      <c r="J950" s="4"/>
      <c r="K950" s="4"/>
      <c r="L950" s="4"/>
      <c r="M950" s="4"/>
      <c r="N950" s="4"/>
      <c r="O950" s="6"/>
    </row>
    <row r="951" spans="2:15" s="46" customFormat="1">
      <c r="B951" s="3"/>
      <c r="C951" s="3"/>
      <c r="G951" s="4"/>
      <c r="H951" s="4"/>
      <c r="I951" s="4"/>
      <c r="J951" s="4"/>
      <c r="K951" s="4"/>
      <c r="L951" s="4"/>
      <c r="M951" s="4"/>
      <c r="N951" s="4"/>
      <c r="O951" s="6"/>
    </row>
    <row r="952" spans="2:15" s="46" customFormat="1">
      <c r="B952" s="3"/>
      <c r="C952" s="3"/>
      <c r="G952" s="4"/>
      <c r="H952" s="4"/>
      <c r="I952" s="4"/>
      <c r="J952" s="4"/>
      <c r="K952" s="4"/>
      <c r="L952" s="4"/>
      <c r="M952" s="4"/>
      <c r="N952" s="4"/>
      <c r="O952" s="6"/>
    </row>
    <row r="953" spans="2:15" s="46" customFormat="1">
      <c r="B953" s="3"/>
      <c r="C953" s="3"/>
      <c r="G953" s="4"/>
      <c r="H953" s="4"/>
      <c r="I953" s="4"/>
      <c r="J953" s="4"/>
      <c r="K953" s="4"/>
      <c r="L953" s="4"/>
      <c r="M953" s="4"/>
      <c r="N953" s="4"/>
      <c r="O953" s="6"/>
    </row>
    <row r="954" spans="2:15" s="46" customFormat="1">
      <c r="B954" s="3"/>
      <c r="C954" s="3"/>
      <c r="G954" s="4"/>
      <c r="H954" s="4"/>
      <c r="I954" s="4"/>
      <c r="J954" s="4"/>
      <c r="K954" s="4"/>
      <c r="L954" s="4"/>
      <c r="M954" s="4"/>
      <c r="N954" s="4"/>
      <c r="O954" s="6"/>
    </row>
    <row r="955" spans="2:15" s="46" customFormat="1">
      <c r="B955" s="3"/>
      <c r="C955" s="3"/>
      <c r="G955" s="4"/>
      <c r="H955" s="4"/>
      <c r="I955" s="4"/>
      <c r="J955" s="4"/>
      <c r="K955" s="4"/>
      <c r="L955" s="4"/>
      <c r="M955" s="4"/>
      <c r="N955" s="4"/>
      <c r="O955" s="6"/>
    </row>
    <row r="956" spans="2:15" s="46" customFormat="1">
      <c r="B956" s="3"/>
      <c r="C956" s="3"/>
      <c r="G956" s="4"/>
      <c r="H956" s="4"/>
      <c r="I956" s="4"/>
      <c r="J956" s="4"/>
      <c r="K956" s="4"/>
      <c r="L956" s="4"/>
      <c r="M956" s="4"/>
      <c r="N956" s="4"/>
      <c r="O956" s="6"/>
    </row>
    <row r="957" spans="2:15" s="46" customFormat="1">
      <c r="B957" s="3"/>
      <c r="C957" s="3"/>
      <c r="G957" s="4"/>
      <c r="H957" s="4"/>
      <c r="I957" s="4"/>
      <c r="J957" s="4"/>
      <c r="K957" s="4"/>
      <c r="L957" s="4"/>
      <c r="M957" s="4"/>
      <c r="N957" s="4"/>
      <c r="O957" s="6"/>
    </row>
    <row r="958" spans="2:15" s="46" customFormat="1">
      <c r="B958" s="3"/>
      <c r="C958" s="3"/>
      <c r="G958" s="4"/>
      <c r="H958" s="4"/>
      <c r="I958" s="4"/>
      <c r="J958" s="4"/>
      <c r="K958" s="4"/>
      <c r="L958" s="4"/>
      <c r="M958" s="4"/>
      <c r="N958" s="4"/>
      <c r="O958" s="6"/>
    </row>
    <row r="959" spans="2:15" s="46" customFormat="1">
      <c r="B959" s="3"/>
      <c r="C959" s="3"/>
      <c r="G959" s="4"/>
      <c r="H959" s="4"/>
      <c r="I959" s="4"/>
      <c r="J959" s="4"/>
      <c r="K959" s="4"/>
      <c r="L959" s="4"/>
      <c r="M959" s="4"/>
      <c r="N959" s="4"/>
      <c r="O959" s="6"/>
    </row>
    <row r="960" spans="2:15" s="46" customFormat="1">
      <c r="B960" s="3"/>
      <c r="C960" s="3"/>
      <c r="G960" s="4"/>
      <c r="H960" s="4"/>
      <c r="I960" s="4"/>
      <c r="J960" s="4"/>
      <c r="K960" s="4"/>
      <c r="L960" s="4"/>
      <c r="M960" s="4"/>
      <c r="N960" s="4"/>
      <c r="O960" s="6"/>
    </row>
    <row r="961" spans="2:15" s="46" customFormat="1">
      <c r="B961" s="3"/>
      <c r="C961" s="3"/>
      <c r="G961" s="4"/>
      <c r="H961" s="4"/>
      <c r="I961" s="4"/>
      <c r="J961" s="4"/>
      <c r="K961" s="4"/>
      <c r="L961" s="4"/>
      <c r="M961" s="4"/>
      <c r="N961" s="4"/>
      <c r="O961" s="6"/>
    </row>
    <row r="962" spans="2:15" s="46" customFormat="1">
      <c r="B962" s="3"/>
      <c r="C962" s="3"/>
      <c r="G962" s="4"/>
      <c r="H962" s="4"/>
      <c r="I962" s="4"/>
      <c r="J962" s="4"/>
      <c r="K962" s="4"/>
      <c r="L962" s="4"/>
      <c r="M962" s="4"/>
      <c r="N962" s="4"/>
      <c r="O962" s="6"/>
    </row>
    <row r="963" spans="2:15" s="46" customFormat="1">
      <c r="B963" s="3"/>
      <c r="C963" s="3"/>
      <c r="G963" s="4"/>
      <c r="H963" s="4"/>
      <c r="I963" s="4"/>
      <c r="J963" s="4"/>
      <c r="K963" s="4"/>
      <c r="L963" s="4"/>
      <c r="M963" s="4"/>
      <c r="N963" s="4"/>
      <c r="O963" s="6"/>
    </row>
    <row r="964" spans="2:15" s="46" customFormat="1">
      <c r="B964" s="3"/>
      <c r="C964" s="3"/>
      <c r="G964" s="4"/>
      <c r="H964" s="4"/>
      <c r="I964" s="4"/>
      <c r="J964" s="4"/>
      <c r="K964" s="4"/>
      <c r="L964" s="4"/>
      <c r="M964" s="4"/>
      <c r="N964" s="4"/>
      <c r="O964" s="6"/>
    </row>
    <row r="965" spans="2:15" s="46" customFormat="1">
      <c r="B965" s="3"/>
      <c r="C965" s="3"/>
      <c r="G965" s="4"/>
      <c r="H965" s="4"/>
      <c r="I965" s="4"/>
      <c r="J965" s="4"/>
      <c r="K965" s="4"/>
      <c r="L965" s="4"/>
      <c r="M965" s="4"/>
      <c r="N965" s="4"/>
      <c r="O965" s="6"/>
    </row>
    <row r="966" spans="2:15" s="46" customFormat="1">
      <c r="B966" s="3"/>
      <c r="C966" s="3"/>
      <c r="G966" s="4"/>
      <c r="H966" s="4"/>
      <c r="I966" s="4"/>
      <c r="J966" s="4"/>
      <c r="K966" s="4"/>
      <c r="L966" s="4"/>
      <c r="M966" s="4"/>
      <c r="N966" s="4"/>
      <c r="O966" s="6"/>
    </row>
    <row r="967" spans="2:15" s="46" customFormat="1">
      <c r="B967" s="3"/>
      <c r="C967" s="3"/>
      <c r="G967" s="4"/>
      <c r="H967" s="4"/>
      <c r="I967" s="4"/>
      <c r="J967" s="4"/>
      <c r="K967" s="4"/>
      <c r="L967" s="4"/>
      <c r="M967" s="4"/>
      <c r="N967" s="4"/>
      <c r="O967" s="6"/>
    </row>
    <row r="968" spans="2:15" s="46" customFormat="1">
      <c r="B968" s="3"/>
      <c r="C968" s="3"/>
      <c r="G968" s="4"/>
      <c r="H968" s="4"/>
      <c r="I968" s="4"/>
      <c r="J968" s="4"/>
      <c r="K968" s="4"/>
      <c r="L968" s="4"/>
      <c r="M968" s="4"/>
      <c r="N968" s="4"/>
      <c r="O968" s="6"/>
    </row>
    <row r="969" spans="2:15" s="46" customFormat="1">
      <c r="B969" s="3"/>
      <c r="C969" s="3"/>
      <c r="G969" s="4"/>
      <c r="H969" s="4"/>
      <c r="I969" s="4"/>
      <c r="J969" s="4"/>
      <c r="K969" s="4"/>
      <c r="L969" s="4"/>
      <c r="M969" s="4"/>
      <c r="N969" s="4"/>
      <c r="O969" s="6"/>
    </row>
    <row r="970" spans="2:15" s="46" customFormat="1">
      <c r="B970" s="3"/>
      <c r="C970" s="3"/>
      <c r="G970" s="4"/>
      <c r="H970" s="4"/>
      <c r="I970" s="4"/>
      <c r="J970" s="4"/>
      <c r="K970" s="4"/>
      <c r="L970" s="4"/>
      <c r="M970" s="4"/>
      <c r="N970" s="4"/>
      <c r="O970" s="6"/>
    </row>
    <row r="971" spans="2:15" s="46" customFormat="1">
      <c r="B971" s="3"/>
      <c r="C971" s="3"/>
      <c r="G971" s="4"/>
      <c r="H971" s="4"/>
      <c r="I971" s="4"/>
      <c r="J971" s="4"/>
      <c r="K971" s="4"/>
      <c r="L971" s="4"/>
      <c r="M971" s="4"/>
      <c r="N971" s="4"/>
      <c r="O971" s="6"/>
    </row>
    <row r="972" spans="2:15" s="46" customFormat="1">
      <c r="B972" s="3"/>
      <c r="C972" s="3"/>
      <c r="G972" s="4"/>
      <c r="H972" s="4"/>
      <c r="I972" s="4"/>
      <c r="J972" s="4"/>
      <c r="K972" s="4"/>
      <c r="L972" s="4"/>
      <c r="M972" s="4"/>
      <c r="N972" s="4"/>
      <c r="O972" s="6"/>
    </row>
    <row r="973" spans="2:15" s="46" customFormat="1">
      <c r="B973" s="3"/>
      <c r="C973" s="3"/>
      <c r="G973" s="4"/>
      <c r="H973" s="4"/>
      <c r="I973" s="4"/>
      <c r="J973" s="4"/>
      <c r="K973" s="4"/>
      <c r="L973" s="4"/>
      <c r="M973" s="4"/>
      <c r="N973" s="4"/>
      <c r="O973" s="6"/>
    </row>
    <row r="974" spans="2:15" s="46" customFormat="1">
      <c r="B974" s="3"/>
      <c r="C974" s="3"/>
      <c r="G974" s="4"/>
      <c r="H974" s="4"/>
      <c r="I974" s="4"/>
      <c r="J974" s="4"/>
      <c r="K974" s="4"/>
      <c r="L974" s="4"/>
      <c r="M974" s="4"/>
      <c r="N974" s="4"/>
      <c r="O974" s="6"/>
    </row>
    <row r="975" spans="2:15" s="46" customFormat="1">
      <c r="B975" s="3"/>
      <c r="C975" s="3"/>
      <c r="G975" s="4"/>
      <c r="H975" s="4"/>
      <c r="I975" s="4"/>
      <c r="J975" s="4"/>
      <c r="K975" s="4"/>
      <c r="L975" s="4"/>
      <c r="M975" s="4"/>
      <c r="N975" s="4"/>
      <c r="O975" s="6"/>
    </row>
    <row r="976" spans="2:15" s="46" customFormat="1">
      <c r="B976" s="3"/>
      <c r="C976" s="3"/>
      <c r="G976" s="4"/>
      <c r="H976" s="4"/>
      <c r="I976" s="4"/>
      <c r="J976" s="4"/>
      <c r="K976" s="4"/>
      <c r="L976" s="4"/>
      <c r="M976" s="4"/>
      <c r="N976" s="4"/>
      <c r="O976" s="6"/>
    </row>
    <row r="977" spans="2:15" s="46" customFormat="1">
      <c r="B977" s="3"/>
      <c r="C977" s="3"/>
      <c r="G977" s="4"/>
      <c r="H977" s="4"/>
      <c r="I977" s="4"/>
      <c r="J977" s="4"/>
      <c r="K977" s="4"/>
      <c r="L977" s="4"/>
      <c r="M977" s="4"/>
      <c r="N977" s="4"/>
      <c r="O977" s="6"/>
    </row>
    <row r="978" spans="2:15" s="46" customFormat="1">
      <c r="B978" s="3"/>
      <c r="C978" s="3"/>
      <c r="G978" s="4"/>
      <c r="H978" s="4"/>
      <c r="I978" s="4"/>
      <c r="J978" s="4"/>
      <c r="K978" s="4"/>
      <c r="L978" s="4"/>
      <c r="M978" s="4"/>
      <c r="N978" s="4"/>
      <c r="O978" s="6"/>
    </row>
    <row r="979" spans="2:15" s="46" customFormat="1">
      <c r="B979" s="3"/>
      <c r="C979" s="3"/>
      <c r="G979" s="4"/>
      <c r="H979" s="4"/>
      <c r="I979" s="4"/>
      <c r="J979" s="4"/>
      <c r="K979" s="4"/>
      <c r="L979" s="4"/>
      <c r="M979" s="4"/>
      <c r="N979" s="4"/>
      <c r="O979" s="6"/>
    </row>
    <row r="980" spans="2:15" s="46" customFormat="1">
      <c r="B980" s="3"/>
      <c r="C980" s="3"/>
      <c r="G980" s="4"/>
      <c r="H980" s="4"/>
      <c r="I980" s="4"/>
      <c r="J980" s="4"/>
      <c r="K980" s="4"/>
      <c r="L980" s="4"/>
      <c r="M980" s="4"/>
      <c r="N980" s="4"/>
      <c r="O980" s="6"/>
    </row>
    <row r="981" spans="2:15" s="46" customFormat="1">
      <c r="B981" s="3"/>
      <c r="C981" s="3"/>
      <c r="G981" s="4"/>
      <c r="H981" s="4"/>
      <c r="I981" s="4"/>
      <c r="J981" s="4"/>
      <c r="K981" s="4"/>
      <c r="L981" s="4"/>
      <c r="M981" s="4"/>
      <c r="N981" s="4"/>
      <c r="O981" s="6"/>
    </row>
    <row r="982" spans="2:15" s="46" customFormat="1">
      <c r="B982" s="3"/>
      <c r="C982" s="3"/>
      <c r="G982" s="4"/>
      <c r="H982" s="4"/>
      <c r="I982" s="4"/>
      <c r="J982" s="4"/>
      <c r="K982" s="4"/>
      <c r="L982" s="4"/>
      <c r="M982" s="4"/>
      <c r="N982" s="4"/>
      <c r="O982" s="6"/>
    </row>
    <row r="983" spans="2:15" s="46" customFormat="1">
      <c r="B983" s="3"/>
      <c r="C983" s="3"/>
      <c r="G983" s="4"/>
      <c r="H983" s="4"/>
      <c r="I983" s="4"/>
      <c r="J983" s="4"/>
      <c r="K983" s="4"/>
      <c r="L983" s="4"/>
      <c r="M983" s="4"/>
      <c r="N983" s="4"/>
      <c r="O983" s="6"/>
    </row>
    <row r="984" spans="2:15" s="46" customFormat="1">
      <c r="B984" s="3"/>
      <c r="C984" s="3"/>
      <c r="G984" s="4"/>
      <c r="H984" s="4"/>
      <c r="I984" s="4"/>
      <c r="J984" s="4"/>
      <c r="K984" s="4"/>
      <c r="L984" s="4"/>
      <c r="M984" s="4"/>
      <c r="N984" s="4"/>
      <c r="O984" s="6"/>
    </row>
    <row r="985" spans="2:15" s="46" customFormat="1">
      <c r="B985" s="3"/>
      <c r="C985" s="3"/>
      <c r="G985" s="4"/>
      <c r="H985" s="4"/>
      <c r="I985" s="4"/>
      <c r="J985" s="4"/>
      <c r="K985" s="4"/>
      <c r="L985" s="4"/>
      <c r="M985" s="4"/>
      <c r="N985" s="4"/>
      <c r="O985" s="6"/>
    </row>
    <row r="986" spans="2:15" s="46" customFormat="1">
      <c r="B986" s="3"/>
      <c r="C986" s="3"/>
      <c r="G986" s="4"/>
      <c r="H986" s="4"/>
      <c r="I986" s="4"/>
      <c r="J986" s="4"/>
      <c r="K986" s="4"/>
      <c r="L986" s="4"/>
      <c r="M986" s="4"/>
      <c r="N986" s="4"/>
      <c r="O986" s="6"/>
    </row>
    <row r="987" spans="2:15" s="46" customFormat="1">
      <c r="B987" s="3"/>
      <c r="C987" s="3"/>
      <c r="G987" s="4"/>
      <c r="H987" s="4"/>
      <c r="I987" s="4"/>
      <c r="J987" s="4"/>
      <c r="K987" s="4"/>
      <c r="L987" s="4"/>
      <c r="M987" s="4"/>
      <c r="N987" s="4"/>
      <c r="O987" s="6"/>
    </row>
    <row r="988" spans="2:15" s="46" customFormat="1">
      <c r="B988" s="3"/>
      <c r="C988" s="3"/>
      <c r="G988" s="4"/>
      <c r="H988" s="4"/>
      <c r="I988" s="4"/>
      <c r="J988" s="4"/>
      <c r="K988" s="4"/>
      <c r="L988" s="4"/>
      <c r="M988" s="4"/>
      <c r="N988" s="4"/>
      <c r="O988" s="6"/>
    </row>
    <row r="989" spans="2:15" s="46" customFormat="1">
      <c r="B989" s="3"/>
      <c r="C989" s="3"/>
      <c r="G989" s="4"/>
      <c r="H989" s="4"/>
      <c r="I989" s="4"/>
      <c r="J989" s="4"/>
      <c r="K989" s="4"/>
      <c r="L989" s="4"/>
      <c r="M989" s="4"/>
      <c r="N989" s="4"/>
      <c r="O989" s="6"/>
    </row>
    <row r="990" spans="2:15" s="46" customFormat="1">
      <c r="B990" s="3"/>
      <c r="C990" s="3"/>
      <c r="G990" s="4"/>
      <c r="H990" s="4"/>
      <c r="I990" s="4"/>
      <c r="J990" s="4"/>
      <c r="K990" s="4"/>
      <c r="L990" s="4"/>
      <c r="M990" s="4"/>
      <c r="N990" s="4"/>
      <c r="O990" s="6"/>
    </row>
    <row r="991" spans="2:15" s="46" customFormat="1">
      <c r="B991" s="3"/>
      <c r="C991" s="3"/>
      <c r="G991" s="4"/>
      <c r="H991" s="4"/>
      <c r="I991" s="4"/>
      <c r="J991" s="4"/>
      <c r="K991" s="4"/>
      <c r="L991" s="4"/>
      <c r="M991" s="4"/>
      <c r="N991" s="4"/>
      <c r="O991" s="6"/>
    </row>
    <row r="992" spans="2:15" s="46" customFormat="1">
      <c r="B992" s="3"/>
      <c r="C992" s="3"/>
      <c r="G992" s="4"/>
      <c r="H992" s="4"/>
      <c r="I992" s="4"/>
      <c r="J992" s="4"/>
      <c r="K992" s="4"/>
      <c r="L992" s="4"/>
      <c r="M992" s="4"/>
      <c r="N992" s="4"/>
      <c r="O992" s="6"/>
    </row>
    <row r="993" spans="2:15" s="46" customFormat="1">
      <c r="B993" s="3"/>
      <c r="C993" s="3"/>
      <c r="G993" s="4"/>
      <c r="H993" s="4"/>
      <c r="I993" s="4"/>
      <c r="J993" s="4"/>
      <c r="K993" s="4"/>
      <c r="L993" s="4"/>
      <c r="M993" s="4"/>
      <c r="N993" s="4"/>
      <c r="O993" s="6"/>
    </row>
    <row r="994" spans="2:15" s="46" customFormat="1">
      <c r="B994" s="3"/>
      <c r="C994" s="3"/>
      <c r="G994" s="4"/>
      <c r="H994" s="4"/>
      <c r="I994" s="4"/>
      <c r="J994" s="4"/>
      <c r="K994" s="4"/>
      <c r="L994" s="4"/>
      <c r="M994" s="4"/>
      <c r="N994" s="4"/>
      <c r="O994" s="6"/>
    </row>
    <row r="995" spans="2:15" s="46" customFormat="1">
      <c r="B995" s="3"/>
      <c r="C995" s="3"/>
      <c r="G995" s="4"/>
      <c r="H995" s="4"/>
      <c r="I995" s="4"/>
      <c r="J995" s="4"/>
      <c r="K995" s="4"/>
      <c r="L995" s="4"/>
      <c r="M995" s="4"/>
      <c r="N995" s="4"/>
      <c r="O995" s="6"/>
    </row>
    <row r="996" spans="2:15" s="46" customFormat="1">
      <c r="B996" s="3"/>
      <c r="C996" s="3"/>
      <c r="G996" s="4"/>
      <c r="H996" s="4"/>
      <c r="I996" s="4"/>
      <c r="J996" s="4"/>
      <c r="K996" s="4"/>
      <c r="L996" s="4"/>
      <c r="M996" s="4"/>
      <c r="N996" s="4"/>
      <c r="O996" s="6"/>
    </row>
    <row r="997" spans="2:15" s="46" customFormat="1">
      <c r="B997" s="3"/>
      <c r="C997" s="3"/>
      <c r="G997" s="4"/>
      <c r="H997" s="4"/>
      <c r="I997" s="4"/>
      <c r="J997" s="4"/>
      <c r="K997" s="4"/>
      <c r="L997" s="4"/>
      <c r="M997" s="4"/>
      <c r="N997" s="4"/>
      <c r="O997" s="6"/>
    </row>
    <row r="998" spans="2:15" s="46" customFormat="1">
      <c r="B998" s="3"/>
      <c r="C998" s="3"/>
      <c r="G998" s="4"/>
      <c r="H998" s="4"/>
      <c r="I998" s="4"/>
      <c r="J998" s="4"/>
      <c r="K998" s="4"/>
      <c r="L998" s="4"/>
      <c r="M998" s="4"/>
      <c r="N998" s="4"/>
      <c r="O998" s="6"/>
    </row>
    <row r="999" spans="2:15" s="46" customFormat="1">
      <c r="B999" s="3"/>
      <c r="C999" s="3"/>
      <c r="G999" s="4"/>
      <c r="H999" s="4"/>
      <c r="I999" s="4"/>
      <c r="J999" s="4"/>
      <c r="K999" s="4"/>
      <c r="L999" s="4"/>
      <c r="M999" s="4"/>
      <c r="N999" s="4"/>
      <c r="O999" s="6"/>
    </row>
    <row r="1000" spans="2:15" s="46" customFormat="1">
      <c r="B1000" s="3"/>
      <c r="C1000" s="3"/>
      <c r="G1000" s="4"/>
      <c r="H1000" s="4"/>
      <c r="I1000" s="4"/>
      <c r="J1000" s="4"/>
      <c r="K1000" s="4"/>
      <c r="L1000" s="4"/>
      <c r="M1000" s="4"/>
      <c r="N1000" s="4"/>
      <c r="O1000" s="6"/>
    </row>
    <row r="1001" spans="2:15" s="46" customFormat="1">
      <c r="B1001" s="3"/>
      <c r="C1001" s="3"/>
      <c r="G1001" s="4"/>
      <c r="H1001" s="4"/>
      <c r="I1001" s="4"/>
      <c r="J1001" s="4"/>
      <c r="K1001" s="4"/>
      <c r="L1001" s="4"/>
      <c r="M1001" s="4"/>
      <c r="N1001" s="4"/>
      <c r="O1001" s="6"/>
    </row>
    <row r="1002" spans="2:15" s="46" customFormat="1">
      <c r="B1002" s="3"/>
      <c r="C1002" s="3"/>
      <c r="G1002" s="4"/>
      <c r="H1002" s="4"/>
      <c r="I1002" s="4"/>
      <c r="J1002" s="4"/>
      <c r="K1002" s="4"/>
      <c r="L1002" s="4"/>
      <c r="M1002" s="4"/>
      <c r="N1002" s="4"/>
      <c r="O1002" s="6"/>
    </row>
    <row r="1003" spans="2:15" s="46" customFormat="1">
      <c r="B1003" s="3"/>
      <c r="C1003" s="3"/>
      <c r="G1003" s="4"/>
      <c r="H1003" s="4"/>
      <c r="I1003" s="4"/>
      <c r="J1003" s="4"/>
      <c r="K1003" s="4"/>
      <c r="L1003" s="4"/>
      <c r="M1003" s="4"/>
      <c r="N1003" s="4"/>
      <c r="O1003" s="6"/>
    </row>
    <row r="1004" spans="2:15" s="46" customFormat="1">
      <c r="B1004" s="3"/>
      <c r="C1004" s="3"/>
      <c r="G1004" s="4"/>
      <c r="H1004" s="4"/>
      <c r="I1004" s="4"/>
      <c r="J1004" s="4"/>
      <c r="K1004" s="4"/>
      <c r="L1004" s="4"/>
      <c r="M1004" s="4"/>
      <c r="N1004" s="4"/>
      <c r="O1004" s="6"/>
    </row>
    <row r="1005" spans="2:15" s="46" customFormat="1">
      <c r="B1005" s="3"/>
      <c r="C1005" s="3"/>
      <c r="G1005" s="4"/>
      <c r="H1005" s="4"/>
      <c r="I1005" s="4"/>
      <c r="J1005" s="4"/>
      <c r="K1005" s="4"/>
      <c r="L1005" s="4"/>
      <c r="M1005" s="4"/>
      <c r="N1005" s="4"/>
      <c r="O1005" s="6"/>
    </row>
    <row r="1006" spans="2:15" s="46" customFormat="1">
      <c r="B1006" s="3"/>
      <c r="C1006" s="3"/>
      <c r="G1006" s="4"/>
      <c r="H1006" s="4"/>
      <c r="I1006" s="4"/>
      <c r="J1006" s="4"/>
      <c r="K1006" s="4"/>
      <c r="L1006" s="4"/>
      <c r="M1006" s="4"/>
      <c r="N1006" s="4"/>
      <c r="O1006" s="6"/>
    </row>
    <row r="1007" spans="2:15" s="46" customFormat="1">
      <c r="B1007" s="3"/>
      <c r="C1007" s="3"/>
      <c r="G1007" s="4"/>
      <c r="H1007" s="4"/>
      <c r="I1007" s="4"/>
      <c r="J1007" s="4"/>
      <c r="K1007" s="4"/>
      <c r="L1007" s="4"/>
      <c r="M1007" s="4"/>
      <c r="N1007" s="4"/>
      <c r="O1007" s="6"/>
    </row>
    <row r="1008" spans="2:15" s="46" customFormat="1">
      <c r="B1008" s="3"/>
      <c r="C1008" s="3"/>
      <c r="G1008" s="4"/>
      <c r="H1008" s="4"/>
      <c r="I1008" s="4"/>
      <c r="J1008" s="4"/>
      <c r="K1008" s="4"/>
      <c r="L1008" s="4"/>
      <c r="M1008" s="4"/>
      <c r="N1008" s="4"/>
      <c r="O1008" s="6"/>
    </row>
    <row r="1009" spans="2:15" s="46" customFormat="1">
      <c r="B1009" s="3"/>
      <c r="C1009" s="3"/>
      <c r="G1009" s="4"/>
      <c r="H1009" s="4"/>
      <c r="I1009" s="4"/>
      <c r="J1009" s="4"/>
      <c r="K1009" s="4"/>
      <c r="L1009" s="4"/>
      <c r="M1009" s="4"/>
      <c r="N1009" s="4"/>
      <c r="O1009" s="6"/>
    </row>
    <row r="1010" spans="2:15" s="46" customFormat="1">
      <c r="B1010" s="3"/>
      <c r="C1010" s="3"/>
      <c r="G1010" s="4"/>
      <c r="H1010" s="4"/>
      <c r="I1010" s="4"/>
      <c r="J1010" s="4"/>
      <c r="K1010" s="4"/>
      <c r="L1010" s="4"/>
      <c r="M1010" s="4"/>
      <c r="N1010" s="4"/>
      <c r="O1010" s="6"/>
    </row>
    <row r="1011" spans="2:15" s="46" customFormat="1">
      <c r="B1011" s="3"/>
      <c r="C1011" s="3"/>
      <c r="G1011" s="4"/>
      <c r="H1011" s="4"/>
      <c r="I1011" s="4"/>
      <c r="J1011" s="4"/>
      <c r="K1011" s="4"/>
      <c r="L1011" s="4"/>
      <c r="M1011" s="4"/>
      <c r="N1011" s="4"/>
      <c r="O1011" s="6"/>
    </row>
    <row r="1012" spans="2:15" s="46" customFormat="1">
      <c r="B1012" s="3"/>
      <c r="C1012" s="3"/>
      <c r="G1012" s="4"/>
      <c r="H1012" s="4"/>
      <c r="I1012" s="4"/>
      <c r="J1012" s="4"/>
      <c r="K1012" s="4"/>
      <c r="L1012" s="4"/>
      <c r="M1012" s="4"/>
      <c r="N1012" s="4"/>
      <c r="O1012" s="6"/>
    </row>
    <row r="1013" spans="2:15" s="46" customFormat="1">
      <c r="B1013" s="3"/>
      <c r="C1013" s="3"/>
      <c r="G1013" s="4"/>
      <c r="H1013" s="4"/>
      <c r="I1013" s="4"/>
      <c r="J1013" s="4"/>
      <c r="K1013" s="4"/>
      <c r="L1013" s="4"/>
      <c r="M1013" s="4"/>
      <c r="N1013" s="4"/>
      <c r="O1013" s="6"/>
    </row>
    <row r="1014" spans="2:15" s="46" customFormat="1">
      <c r="B1014" s="3"/>
      <c r="C1014" s="3"/>
      <c r="G1014" s="4"/>
      <c r="H1014" s="4"/>
      <c r="I1014" s="4"/>
      <c r="J1014" s="4"/>
      <c r="K1014" s="4"/>
      <c r="L1014" s="4"/>
      <c r="M1014" s="4"/>
      <c r="N1014" s="4"/>
      <c r="O1014" s="6"/>
    </row>
    <row r="1015" spans="2:15" s="46" customFormat="1">
      <c r="B1015" s="3"/>
      <c r="C1015" s="3"/>
      <c r="G1015" s="4"/>
      <c r="H1015" s="4"/>
      <c r="I1015" s="4"/>
      <c r="J1015" s="4"/>
      <c r="K1015" s="4"/>
      <c r="L1015" s="4"/>
      <c r="M1015" s="4"/>
      <c r="N1015" s="4"/>
      <c r="O1015" s="6"/>
    </row>
    <row r="1016" spans="2:15" s="46" customFormat="1">
      <c r="B1016" s="3"/>
      <c r="C1016" s="3"/>
      <c r="G1016" s="4"/>
      <c r="H1016" s="4"/>
      <c r="I1016" s="4"/>
      <c r="J1016" s="4"/>
      <c r="K1016" s="4"/>
      <c r="L1016" s="4"/>
      <c r="M1016" s="4"/>
      <c r="N1016" s="4"/>
      <c r="O1016" s="6"/>
    </row>
    <row r="1017" spans="2:15" s="46" customFormat="1">
      <c r="B1017" s="3"/>
      <c r="C1017" s="3"/>
      <c r="G1017" s="4"/>
      <c r="H1017" s="4"/>
      <c r="I1017" s="4"/>
      <c r="J1017" s="4"/>
      <c r="K1017" s="4"/>
      <c r="L1017" s="4"/>
      <c r="M1017" s="4"/>
      <c r="N1017" s="4"/>
      <c r="O1017" s="6"/>
    </row>
    <row r="1018" spans="2:15" s="46" customFormat="1">
      <c r="B1018" s="3"/>
      <c r="C1018" s="3"/>
      <c r="G1018" s="4"/>
      <c r="H1018" s="4"/>
      <c r="I1018" s="4"/>
      <c r="J1018" s="4"/>
      <c r="K1018" s="4"/>
      <c r="L1018" s="4"/>
      <c r="M1018" s="4"/>
      <c r="N1018" s="4"/>
      <c r="O1018" s="6"/>
    </row>
    <row r="1019" spans="2:15" s="46" customFormat="1">
      <c r="B1019" s="3"/>
      <c r="C1019" s="3"/>
      <c r="G1019" s="4"/>
      <c r="H1019" s="4"/>
      <c r="I1019" s="4"/>
      <c r="J1019" s="4"/>
      <c r="K1019" s="4"/>
      <c r="L1019" s="4"/>
      <c r="M1019" s="4"/>
      <c r="N1019" s="4"/>
      <c r="O1019" s="6"/>
    </row>
    <row r="1020" spans="2:15" s="46" customFormat="1">
      <c r="B1020" s="3"/>
      <c r="C1020" s="3"/>
      <c r="G1020" s="4"/>
      <c r="H1020" s="4"/>
      <c r="I1020" s="4"/>
      <c r="J1020" s="4"/>
      <c r="K1020" s="4"/>
      <c r="L1020" s="4"/>
      <c r="M1020" s="4"/>
      <c r="N1020" s="4"/>
      <c r="O1020" s="6"/>
    </row>
    <row r="1021" spans="2:15" s="46" customFormat="1">
      <c r="B1021" s="3"/>
      <c r="C1021" s="3"/>
      <c r="G1021" s="4"/>
      <c r="H1021" s="4"/>
      <c r="I1021" s="4"/>
      <c r="J1021" s="4"/>
      <c r="K1021" s="4"/>
      <c r="L1021" s="4"/>
      <c r="M1021" s="4"/>
      <c r="N1021" s="4"/>
      <c r="O1021" s="6"/>
    </row>
    <row r="1022" spans="2:15" s="46" customFormat="1">
      <c r="B1022" s="3"/>
      <c r="C1022" s="3"/>
      <c r="G1022" s="4"/>
      <c r="H1022" s="4"/>
      <c r="I1022" s="4"/>
      <c r="J1022" s="4"/>
      <c r="K1022" s="4"/>
      <c r="L1022" s="4"/>
      <c r="M1022" s="4"/>
      <c r="N1022" s="4"/>
      <c r="O1022" s="6"/>
    </row>
    <row r="1023" spans="2:15" s="46" customFormat="1">
      <c r="B1023" s="3"/>
      <c r="C1023" s="3"/>
      <c r="G1023" s="4"/>
      <c r="H1023" s="4"/>
      <c r="I1023" s="4"/>
      <c r="J1023" s="4"/>
      <c r="K1023" s="4"/>
      <c r="L1023" s="4"/>
      <c r="M1023" s="4"/>
      <c r="N1023" s="4"/>
      <c r="O1023" s="6"/>
    </row>
    <row r="1024" spans="2:15" s="46" customFormat="1">
      <c r="B1024" s="3"/>
      <c r="C1024" s="3"/>
      <c r="G1024" s="4"/>
      <c r="H1024" s="4"/>
      <c r="I1024" s="4"/>
      <c r="J1024" s="4"/>
      <c r="K1024" s="4"/>
      <c r="L1024" s="4"/>
      <c r="M1024" s="4"/>
      <c r="N1024" s="4"/>
      <c r="O1024" s="6"/>
    </row>
    <row r="1025" spans="2:15" s="46" customFormat="1">
      <c r="B1025" s="3"/>
      <c r="C1025" s="3"/>
      <c r="G1025" s="4"/>
      <c r="H1025" s="4"/>
      <c r="I1025" s="4"/>
      <c r="J1025" s="4"/>
      <c r="K1025" s="4"/>
      <c r="L1025" s="4"/>
      <c r="M1025" s="4"/>
      <c r="N1025" s="4"/>
      <c r="O1025" s="6"/>
    </row>
    <row r="1026" spans="2:15" s="46" customFormat="1">
      <c r="B1026" s="3"/>
      <c r="C1026" s="3"/>
      <c r="G1026" s="4"/>
      <c r="H1026" s="4"/>
      <c r="I1026" s="4"/>
      <c r="J1026" s="4"/>
      <c r="K1026" s="4"/>
      <c r="L1026" s="4"/>
      <c r="M1026" s="4"/>
      <c r="N1026" s="4"/>
      <c r="O1026" s="6"/>
    </row>
    <row r="1027" spans="2:15" s="46" customFormat="1">
      <c r="B1027" s="3"/>
      <c r="C1027" s="3"/>
      <c r="G1027" s="4"/>
      <c r="H1027" s="4"/>
      <c r="I1027" s="4"/>
      <c r="J1027" s="4"/>
      <c r="K1027" s="4"/>
      <c r="L1027" s="4"/>
      <c r="M1027" s="4"/>
      <c r="N1027" s="4"/>
      <c r="O1027" s="6"/>
    </row>
    <row r="1028" spans="2:15" s="46" customFormat="1">
      <c r="B1028" s="3"/>
      <c r="C1028" s="3"/>
      <c r="G1028" s="4"/>
      <c r="H1028" s="4"/>
      <c r="I1028" s="4"/>
      <c r="J1028" s="4"/>
      <c r="K1028" s="4"/>
      <c r="L1028" s="4"/>
      <c r="M1028" s="4"/>
      <c r="N1028" s="4"/>
      <c r="O1028" s="6"/>
    </row>
    <row r="1029" spans="2:15" s="46" customFormat="1">
      <c r="B1029" s="3"/>
      <c r="C1029" s="3"/>
      <c r="G1029" s="4"/>
      <c r="H1029" s="4"/>
      <c r="I1029" s="4"/>
      <c r="J1029" s="4"/>
      <c r="K1029" s="4"/>
      <c r="L1029" s="4"/>
      <c r="M1029" s="4"/>
      <c r="N1029" s="4"/>
      <c r="O1029" s="6"/>
    </row>
    <row r="1030" spans="2:15" s="46" customFormat="1">
      <c r="B1030" s="3"/>
      <c r="C1030" s="3"/>
      <c r="G1030" s="4"/>
      <c r="H1030" s="4"/>
      <c r="I1030" s="4"/>
      <c r="J1030" s="4"/>
      <c r="K1030" s="4"/>
      <c r="L1030" s="4"/>
      <c r="M1030" s="4"/>
      <c r="N1030" s="4"/>
      <c r="O1030" s="6"/>
    </row>
    <row r="1031" spans="2:15" s="46" customFormat="1">
      <c r="B1031" s="3"/>
      <c r="C1031" s="3"/>
      <c r="G1031" s="4"/>
      <c r="H1031" s="4"/>
      <c r="I1031" s="4"/>
      <c r="J1031" s="4"/>
      <c r="K1031" s="4"/>
      <c r="L1031" s="4"/>
      <c r="M1031" s="4"/>
      <c r="N1031" s="4"/>
      <c r="O1031" s="6"/>
    </row>
    <row r="1032" spans="2:15" s="46" customFormat="1">
      <c r="B1032" s="3"/>
      <c r="C1032" s="3"/>
      <c r="G1032" s="4"/>
      <c r="H1032" s="4"/>
      <c r="I1032" s="4"/>
      <c r="J1032" s="4"/>
      <c r="K1032" s="4"/>
      <c r="L1032" s="4"/>
      <c r="M1032" s="4"/>
      <c r="N1032" s="4"/>
      <c r="O1032" s="6"/>
    </row>
    <row r="1033" spans="2:15" s="46" customFormat="1">
      <c r="B1033" s="3"/>
      <c r="C1033" s="3"/>
      <c r="G1033" s="4"/>
      <c r="H1033" s="4"/>
      <c r="I1033" s="4"/>
      <c r="J1033" s="4"/>
      <c r="K1033" s="4"/>
      <c r="L1033" s="4"/>
      <c r="M1033" s="4"/>
      <c r="N1033" s="4"/>
      <c r="O1033" s="6"/>
    </row>
    <row r="1034" spans="2:15" s="46" customFormat="1">
      <c r="B1034" s="3"/>
      <c r="C1034" s="3"/>
      <c r="G1034" s="4"/>
      <c r="H1034" s="4"/>
      <c r="I1034" s="4"/>
      <c r="J1034" s="4"/>
      <c r="K1034" s="4"/>
      <c r="L1034" s="4"/>
      <c r="M1034" s="4"/>
      <c r="N1034" s="4"/>
      <c r="O1034" s="6"/>
    </row>
    <row r="1035" spans="2:15" s="46" customFormat="1">
      <c r="B1035" s="3"/>
      <c r="C1035" s="3"/>
      <c r="G1035" s="4"/>
      <c r="H1035" s="4"/>
      <c r="I1035" s="4"/>
      <c r="J1035" s="4"/>
      <c r="K1035" s="4"/>
      <c r="L1035" s="4"/>
      <c r="M1035" s="4"/>
      <c r="N1035" s="4"/>
      <c r="O1035" s="6"/>
    </row>
    <row r="1036" spans="2:15" s="46" customFormat="1">
      <c r="B1036" s="3"/>
      <c r="C1036" s="3"/>
      <c r="G1036" s="4"/>
      <c r="H1036" s="4"/>
      <c r="I1036" s="4"/>
      <c r="J1036" s="4"/>
      <c r="K1036" s="4"/>
      <c r="L1036" s="4"/>
      <c r="M1036" s="4"/>
      <c r="N1036" s="4"/>
      <c r="O1036" s="6"/>
    </row>
    <row r="1037" spans="2:15" s="46" customFormat="1">
      <c r="B1037" s="3"/>
      <c r="C1037" s="3"/>
      <c r="G1037" s="4"/>
      <c r="H1037" s="4"/>
      <c r="I1037" s="4"/>
      <c r="J1037" s="4"/>
      <c r="K1037" s="4"/>
      <c r="L1037" s="4"/>
      <c r="M1037" s="4"/>
      <c r="N1037" s="4"/>
      <c r="O1037" s="6"/>
    </row>
    <row r="1038" spans="2:15" s="46" customFormat="1">
      <c r="B1038" s="3"/>
      <c r="C1038" s="3"/>
      <c r="G1038" s="4"/>
      <c r="H1038" s="4"/>
      <c r="I1038" s="4"/>
      <c r="J1038" s="4"/>
      <c r="K1038" s="4"/>
      <c r="L1038" s="4"/>
      <c r="M1038" s="4"/>
      <c r="N1038" s="4"/>
      <c r="O1038" s="6"/>
    </row>
    <row r="1039" spans="2:15" s="46" customFormat="1">
      <c r="B1039" s="3"/>
      <c r="C1039" s="3"/>
      <c r="G1039" s="4"/>
      <c r="H1039" s="4"/>
      <c r="I1039" s="4"/>
      <c r="J1039" s="4"/>
      <c r="K1039" s="4"/>
      <c r="L1039" s="4"/>
      <c r="M1039" s="4"/>
      <c r="N1039" s="4"/>
      <c r="O1039" s="6"/>
    </row>
    <row r="1040" spans="2:15" s="46" customFormat="1">
      <c r="B1040" s="3"/>
      <c r="C1040" s="3"/>
      <c r="G1040" s="4"/>
      <c r="H1040" s="4"/>
      <c r="I1040" s="4"/>
      <c r="J1040" s="4"/>
      <c r="K1040" s="4"/>
      <c r="L1040" s="4"/>
      <c r="M1040" s="4"/>
      <c r="N1040" s="4"/>
      <c r="O1040" s="6"/>
    </row>
    <row r="1041" spans="2:15" s="46" customFormat="1">
      <c r="B1041" s="3"/>
      <c r="C1041" s="3"/>
      <c r="G1041" s="4"/>
      <c r="H1041" s="4"/>
      <c r="I1041" s="4"/>
      <c r="J1041" s="4"/>
      <c r="K1041" s="4"/>
      <c r="L1041" s="4"/>
      <c r="M1041" s="4"/>
      <c r="N1041" s="4"/>
      <c r="O1041" s="6"/>
    </row>
    <row r="1042" spans="2:15" s="46" customFormat="1">
      <c r="B1042" s="3"/>
      <c r="C1042" s="3"/>
      <c r="G1042" s="4"/>
      <c r="H1042" s="4"/>
      <c r="I1042" s="4"/>
      <c r="J1042" s="4"/>
      <c r="K1042" s="4"/>
      <c r="L1042" s="4"/>
      <c r="M1042" s="4"/>
      <c r="N1042" s="4"/>
      <c r="O1042" s="6"/>
    </row>
    <row r="1043" spans="2:15" s="46" customFormat="1">
      <c r="B1043" s="3"/>
      <c r="C1043" s="3"/>
      <c r="G1043" s="4"/>
      <c r="H1043" s="4"/>
      <c r="I1043" s="4"/>
      <c r="J1043" s="4"/>
      <c r="K1043" s="4"/>
      <c r="L1043" s="4"/>
      <c r="M1043" s="4"/>
      <c r="N1043" s="4"/>
      <c r="O1043" s="6"/>
    </row>
    <row r="1044" spans="2:15" s="46" customFormat="1">
      <c r="B1044" s="3"/>
      <c r="C1044" s="3"/>
      <c r="G1044" s="4"/>
      <c r="H1044" s="4"/>
      <c r="I1044" s="4"/>
      <c r="J1044" s="4"/>
      <c r="K1044" s="4"/>
      <c r="L1044" s="4"/>
      <c r="M1044" s="4"/>
      <c r="N1044" s="4"/>
      <c r="O1044" s="6"/>
    </row>
    <row r="1045" spans="2:15" s="46" customFormat="1">
      <c r="B1045" s="3"/>
      <c r="C1045" s="3"/>
      <c r="G1045" s="4"/>
      <c r="H1045" s="4"/>
      <c r="I1045" s="4"/>
      <c r="J1045" s="4"/>
      <c r="K1045" s="4"/>
      <c r="L1045" s="4"/>
      <c r="M1045" s="4"/>
      <c r="N1045" s="4"/>
      <c r="O1045" s="6"/>
    </row>
    <row r="1046" spans="2:15" s="46" customFormat="1">
      <c r="B1046" s="3"/>
      <c r="C1046" s="3"/>
      <c r="G1046" s="4"/>
      <c r="H1046" s="4"/>
      <c r="I1046" s="4"/>
      <c r="J1046" s="4"/>
      <c r="K1046" s="4"/>
      <c r="L1046" s="4"/>
      <c r="M1046" s="4"/>
      <c r="N1046" s="4"/>
      <c r="O1046" s="6"/>
    </row>
    <row r="1047" spans="2:15" s="46" customFormat="1">
      <c r="B1047" s="3"/>
      <c r="C1047" s="3"/>
      <c r="G1047" s="4"/>
      <c r="H1047" s="4"/>
      <c r="I1047" s="4"/>
      <c r="J1047" s="4"/>
      <c r="K1047" s="4"/>
      <c r="L1047" s="4"/>
      <c r="M1047" s="4"/>
      <c r="N1047" s="4"/>
      <c r="O1047" s="6"/>
    </row>
    <row r="1048" spans="2:15" s="46" customFormat="1">
      <c r="B1048" s="3"/>
      <c r="C1048" s="3"/>
      <c r="G1048" s="4"/>
      <c r="H1048" s="4"/>
      <c r="I1048" s="4"/>
      <c r="J1048" s="4"/>
      <c r="K1048" s="4"/>
      <c r="L1048" s="4"/>
      <c r="M1048" s="4"/>
      <c r="N1048" s="4"/>
      <c r="O1048" s="6"/>
    </row>
    <row r="1049" spans="2:15" s="46" customFormat="1">
      <c r="B1049" s="3"/>
      <c r="C1049" s="3"/>
      <c r="G1049" s="4"/>
      <c r="H1049" s="4"/>
      <c r="I1049" s="4"/>
      <c r="J1049" s="4"/>
      <c r="K1049" s="4"/>
      <c r="L1049" s="4"/>
      <c r="M1049" s="4"/>
      <c r="N1049" s="4"/>
      <c r="O1049" s="6"/>
    </row>
    <row r="1050" spans="2:15" s="46" customFormat="1">
      <c r="B1050" s="3"/>
      <c r="C1050" s="3"/>
      <c r="G1050" s="4"/>
      <c r="H1050" s="4"/>
      <c r="I1050" s="4"/>
      <c r="J1050" s="4"/>
      <c r="K1050" s="4"/>
      <c r="L1050" s="4"/>
      <c r="M1050" s="4"/>
      <c r="N1050" s="4"/>
      <c r="O1050" s="6"/>
    </row>
    <row r="1051" spans="2:15" s="46" customFormat="1">
      <c r="B1051" s="3"/>
      <c r="C1051" s="3"/>
      <c r="G1051" s="4"/>
      <c r="H1051" s="4"/>
      <c r="I1051" s="4"/>
      <c r="J1051" s="4"/>
      <c r="K1051" s="4"/>
      <c r="L1051" s="4"/>
      <c r="M1051" s="4"/>
      <c r="N1051" s="4"/>
      <c r="O1051" s="6"/>
    </row>
    <row r="1052" spans="2:15" s="46" customFormat="1">
      <c r="B1052" s="3"/>
      <c r="C1052" s="3"/>
      <c r="G1052" s="4"/>
      <c r="H1052" s="4"/>
      <c r="I1052" s="4"/>
      <c r="J1052" s="4"/>
      <c r="K1052" s="4"/>
      <c r="L1052" s="4"/>
      <c r="M1052" s="4"/>
      <c r="N1052" s="4"/>
      <c r="O1052" s="6"/>
    </row>
    <row r="1053" spans="2:15" s="46" customFormat="1">
      <c r="B1053" s="3"/>
      <c r="C1053" s="3"/>
      <c r="G1053" s="4"/>
      <c r="H1053" s="4"/>
      <c r="I1053" s="4"/>
      <c r="J1053" s="4"/>
      <c r="K1053" s="4"/>
      <c r="L1053" s="4"/>
      <c r="M1053" s="4"/>
      <c r="N1053" s="4"/>
      <c r="O1053" s="6"/>
    </row>
    <row r="1054" spans="2:15" s="46" customFormat="1">
      <c r="B1054" s="3"/>
      <c r="C1054" s="3"/>
      <c r="G1054" s="4"/>
      <c r="H1054" s="4"/>
      <c r="I1054" s="4"/>
      <c r="J1054" s="4"/>
      <c r="K1054" s="4"/>
      <c r="L1054" s="4"/>
      <c r="M1054" s="4"/>
      <c r="N1054" s="4"/>
      <c r="O1054" s="6"/>
    </row>
    <row r="1055" spans="2:15" s="46" customFormat="1">
      <c r="B1055" s="3"/>
      <c r="C1055" s="3"/>
      <c r="G1055" s="4"/>
      <c r="H1055" s="4"/>
      <c r="I1055" s="4"/>
      <c r="J1055" s="4"/>
      <c r="K1055" s="4"/>
      <c r="L1055" s="4"/>
      <c r="M1055" s="4"/>
      <c r="N1055" s="4"/>
      <c r="O1055" s="6"/>
    </row>
    <row r="1056" spans="2:15" s="46" customFormat="1">
      <c r="B1056" s="3"/>
      <c r="C1056" s="3"/>
      <c r="G1056" s="4"/>
      <c r="H1056" s="4"/>
      <c r="I1056" s="4"/>
      <c r="J1056" s="4"/>
      <c r="K1056" s="4"/>
      <c r="L1056" s="4"/>
      <c r="M1056" s="4"/>
      <c r="N1056" s="4"/>
      <c r="O1056" s="6"/>
    </row>
    <row r="1057" spans="2:15" s="46" customFormat="1">
      <c r="B1057" s="3"/>
      <c r="C1057" s="3"/>
      <c r="G1057" s="4"/>
      <c r="H1057" s="4"/>
      <c r="I1057" s="4"/>
      <c r="J1057" s="4"/>
      <c r="K1057" s="4"/>
      <c r="L1057" s="4"/>
      <c r="M1057" s="4"/>
      <c r="N1057" s="4"/>
      <c r="O1057" s="6"/>
    </row>
    <row r="1058" spans="2:15" s="46" customFormat="1">
      <c r="B1058" s="3"/>
      <c r="C1058" s="3"/>
      <c r="G1058" s="4"/>
      <c r="H1058" s="4"/>
      <c r="I1058" s="4"/>
      <c r="J1058" s="4"/>
      <c r="K1058" s="4"/>
      <c r="L1058" s="4"/>
      <c r="M1058" s="4"/>
      <c r="N1058" s="4"/>
      <c r="O1058" s="6"/>
    </row>
    <row r="1059" spans="2:15" s="46" customFormat="1">
      <c r="B1059" s="3"/>
      <c r="C1059" s="3"/>
      <c r="G1059" s="4"/>
      <c r="H1059" s="4"/>
      <c r="I1059" s="4"/>
      <c r="J1059" s="4"/>
      <c r="K1059" s="4"/>
      <c r="L1059" s="4"/>
      <c r="M1059" s="4"/>
      <c r="N1059" s="4"/>
      <c r="O1059" s="6"/>
    </row>
    <row r="1060" spans="2:15" s="46" customFormat="1">
      <c r="B1060" s="3"/>
      <c r="C1060" s="3"/>
      <c r="G1060" s="4"/>
      <c r="H1060" s="4"/>
      <c r="I1060" s="4"/>
      <c r="J1060" s="4"/>
      <c r="K1060" s="4"/>
      <c r="L1060" s="4"/>
      <c r="M1060" s="4"/>
      <c r="N1060" s="4"/>
      <c r="O1060" s="6"/>
    </row>
    <row r="1061" spans="2:15" s="46" customFormat="1">
      <c r="B1061" s="3"/>
      <c r="C1061" s="3"/>
      <c r="G1061" s="4"/>
      <c r="H1061" s="4"/>
      <c r="I1061" s="4"/>
      <c r="J1061" s="4"/>
      <c r="K1061" s="4"/>
      <c r="L1061" s="4"/>
      <c r="M1061" s="4"/>
      <c r="N1061" s="4"/>
      <c r="O1061" s="6"/>
    </row>
    <row r="1062" spans="2:15" s="46" customFormat="1">
      <c r="B1062" s="3"/>
      <c r="C1062" s="3"/>
      <c r="G1062" s="4"/>
      <c r="H1062" s="4"/>
      <c r="I1062" s="4"/>
      <c r="J1062" s="4"/>
      <c r="K1062" s="4"/>
      <c r="L1062" s="4"/>
      <c r="M1062" s="4"/>
      <c r="N1062" s="4"/>
      <c r="O1062" s="6"/>
    </row>
    <row r="1063" spans="2:15" s="46" customFormat="1">
      <c r="B1063" s="3"/>
      <c r="C1063" s="3"/>
      <c r="G1063" s="4"/>
      <c r="H1063" s="4"/>
      <c r="I1063" s="4"/>
      <c r="J1063" s="4"/>
      <c r="K1063" s="4"/>
      <c r="L1063" s="4"/>
      <c r="M1063" s="4"/>
      <c r="N1063" s="4"/>
      <c r="O1063" s="6"/>
    </row>
    <row r="1064" spans="2:15" s="46" customFormat="1">
      <c r="B1064" s="3"/>
      <c r="C1064" s="3"/>
      <c r="G1064" s="4"/>
      <c r="H1064" s="4"/>
      <c r="I1064" s="4"/>
      <c r="J1064" s="4"/>
      <c r="K1064" s="4"/>
      <c r="L1064" s="4"/>
      <c r="M1064" s="4"/>
      <c r="N1064" s="4"/>
      <c r="O1064" s="6"/>
    </row>
    <row r="1065" spans="2:15" s="46" customFormat="1">
      <c r="B1065" s="3"/>
      <c r="C1065" s="3"/>
      <c r="G1065" s="4"/>
      <c r="H1065" s="4"/>
      <c r="I1065" s="4"/>
      <c r="J1065" s="4"/>
      <c r="K1065" s="4"/>
      <c r="L1065" s="4"/>
      <c r="M1065" s="4"/>
      <c r="N1065" s="4"/>
      <c r="O1065" s="6"/>
    </row>
    <row r="1066" spans="2:15" s="46" customFormat="1">
      <c r="B1066" s="3"/>
      <c r="C1066" s="3"/>
      <c r="G1066" s="4"/>
      <c r="H1066" s="4"/>
      <c r="I1066" s="4"/>
      <c r="J1066" s="4"/>
      <c r="K1066" s="4"/>
      <c r="L1066" s="4"/>
      <c r="M1066" s="4"/>
      <c r="N1066" s="4"/>
      <c r="O1066" s="6"/>
    </row>
    <row r="1067" spans="2:15" s="46" customFormat="1">
      <c r="B1067" s="3"/>
      <c r="C1067" s="3"/>
      <c r="G1067" s="4"/>
      <c r="H1067" s="4"/>
      <c r="I1067" s="4"/>
      <c r="J1067" s="4"/>
      <c r="K1067" s="4"/>
      <c r="L1067" s="4"/>
      <c r="M1067" s="4"/>
      <c r="N1067" s="4"/>
      <c r="O1067" s="6"/>
    </row>
    <row r="1068" spans="2:15" s="46" customFormat="1">
      <c r="B1068" s="3"/>
      <c r="C1068" s="3"/>
      <c r="G1068" s="4"/>
      <c r="H1068" s="4"/>
      <c r="I1068" s="4"/>
      <c r="J1068" s="4"/>
      <c r="K1068" s="4"/>
      <c r="L1068" s="4"/>
      <c r="M1068" s="4"/>
      <c r="N1068" s="4"/>
      <c r="O1068" s="6"/>
    </row>
    <row r="1069" spans="2:15" s="46" customFormat="1">
      <c r="B1069" s="3"/>
      <c r="C1069" s="3"/>
      <c r="G1069" s="4"/>
      <c r="H1069" s="4"/>
      <c r="I1069" s="4"/>
      <c r="J1069" s="4"/>
      <c r="K1069" s="4"/>
      <c r="L1069" s="4"/>
      <c r="M1069" s="4"/>
      <c r="N1069" s="4"/>
      <c r="O1069" s="6"/>
    </row>
    <row r="1070" spans="2:15" s="46" customFormat="1">
      <c r="B1070" s="3"/>
      <c r="C1070" s="3"/>
      <c r="G1070" s="4"/>
      <c r="H1070" s="4"/>
      <c r="I1070" s="4"/>
      <c r="J1070" s="4"/>
      <c r="K1070" s="4"/>
      <c r="L1070" s="4"/>
      <c r="M1070" s="4"/>
      <c r="N1070" s="4"/>
      <c r="O1070" s="6"/>
    </row>
    <row r="1071" spans="2:15" s="46" customFormat="1">
      <c r="B1071" s="3"/>
      <c r="C1071" s="3"/>
      <c r="G1071" s="4"/>
      <c r="H1071" s="4"/>
      <c r="I1071" s="4"/>
      <c r="J1071" s="4"/>
      <c r="K1071" s="4"/>
      <c r="L1071" s="4"/>
      <c r="M1071" s="4"/>
      <c r="N1071" s="4"/>
      <c r="O1071" s="6"/>
    </row>
    <row r="1072" spans="2:15" s="46" customFormat="1">
      <c r="B1072" s="3"/>
      <c r="C1072" s="3"/>
      <c r="G1072" s="4"/>
      <c r="H1072" s="4"/>
      <c r="I1072" s="4"/>
      <c r="J1072" s="4"/>
      <c r="K1072" s="4"/>
      <c r="L1072" s="4"/>
      <c r="M1072" s="4"/>
      <c r="N1072" s="4"/>
      <c r="O1072" s="6"/>
    </row>
    <row r="1073" spans="2:15" s="46" customFormat="1">
      <c r="B1073" s="3"/>
      <c r="C1073" s="3"/>
      <c r="G1073" s="4"/>
      <c r="H1073" s="4"/>
      <c r="I1073" s="4"/>
      <c r="J1073" s="4"/>
      <c r="K1073" s="4"/>
      <c r="L1073" s="4"/>
      <c r="M1073" s="4"/>
      <c r="N1073" s="4"/>
      <c r="O1073" s="6"/>
    </row>
    <row r="1074" spans="2:15" s="46" customFormat="1">
      <c r="B1074" s="3"/>
      <c r="C1074" s="3"/>
      <c r="G1074" s="4"/>
      <c r="H1074" s="4"/>
      <c r="I1074" s="4"/>
      <c r="J1074" s="4"/>
      <c r="K1074" s="4"/>
      <c r="L1074" s="4"/>
      <c r="M1074" s="4"/>
      <c r="N1074" s="4"/>
      <c r="O1074" s="6"/>
    </row>
    <row r="1075" spans="2:15" s="46" customFormat="1">
      <c r="B1075" s="3"/>
      <c r="C1075" s="3"/>
      <c r="G1075" s="4"/>
      <c r="H1075" s="4"/>
      <c r="I1075" s="4"/>
      <c r="J1075" s="4"/>
      <c r="K1075" s="4"/>
      <c r="L1075" s="4"/>
      <c r="M1075" s="4"/>
      <c r="N1075" s="4"/>
      <c r="O1075" s="6"/>
    </row>
    <row r="1076" spans="2:15" s="46" customFormat="1">
      <c r="B1076" s="3"/>
      <c r="C1076" s="3"/>
      <c r="G1076" s="4"/>
      <c r="H1076" s="4"/>
      <c r="I1076" s="4"/>
      <c r="J1076" s="4"/>
      <c r="K1076" s="4"/>
      <c r="L1076" s="4"/>
      <c r="M1076" s="4"/>
      <c r="N1076" s="4"/>
      <c r="O1076" s="6"/>
    </row>
    <row r="1077" spans="2:15" s="46" customFormat="1">
      <c r="B1077" s="3"/>
      <c r="C1077" s="3"/>
      <c r="G1077" s="4"/>
      <c r="H1077" s="4"/>
      <c r="I1077" s="4"/>
      <c r="J1077" s="4"/>
      <c r="K1077" s="4"/>
      <c r="L1077" s="4"/>
      <c r="M1077" s="4"/>
      <c r="N1077" s="4"/>
      <c r="O1077" s="6"/>
    </row>
    <row r="1078" spans="2:15" s="46" customFormat="1">
      <c r="B1078" s="3"/>
      <c r="C1078" s="3"/>
      <c r="G1078" s="4"/>
      <c r="H1078" s="4"/>
      <c r="I1078" s="4"/>
      <c r="J1078" s="4"/>
      <c r="K1078" s="4"/>
      <c r="L1078" s="4"/>
      <c r="M1078" s="4"/>
      <c r="N1078" s="4"/>
      <c r="O1078" s="6"/>
    </row>
    <row r="1079" spans="2:15" s="46" customFormat="1">
      <c r="B1079" s="3"/>
      <c r="C1079" s="3"/>
      <c r="G1079" s="4"/>
      <c r="H1079" s="4"/>
      <c r="I1079" s="4"/>
      <c r="J1079" s="4"/>
      <c r="K1079" s="4"/>
      <c r="L1079" s="4"/>
      <c r="M1079" s="4"/>
      <c r="N1079" s="4"/>
      <c r="O1079" s="6"/>
    </row>
    <row r="1080" spans="2:15" s="46" customFormat="1">
      <c r="B1080" s="3"/>
      <c r="C1080" s="3"/>
      <c r="G1080" s="4"/>
      <c r="H1080" s="4"/>
      <c r="I1080" s="4"/>
      <c r="J1080" s="4"/>
      <c r="K1080" s="4"/>
      <c r="L1080" s="4"/>
      <c r="M1080" s="4"/>
      <c r="N1080" s="4"/>
      <c r="O1080" s="6"/>
    </row>
    <row r="1081" spans="2:15" s="46" customFormat="1">
      <c r="B1081" s="3"/>
      <c r="C1081" s="3"/>
      <c r="G1081" s="4"/>
      <c r="H1081" s="4"/>
      <c r="I1081" s="4"/>
      <c r="J1081" s="4"/>
      <c r="K1081" s="4"/>
      <c r="L1081" s="4"/>
      <c r="M1081" s="4"/>
      <c r="N1081" s="4"/>
      <c r="O1081" s="6"/>
    </row>
    <row r="1082" spans="2:15" s="46" customFormat="1">
      <c r="B1082" s="3"/>
      <c r="C1082" s="3"/>
      <c r="G1082" s="4"/>
      <c r="H1082" s="4"/>
      <c r="I1082" s="4"/>
      <c r="J1082" s="4"/>
      <c r="K1082" s="4"/>
      <c r="L1082" s="4"/>
      <c r="M1082" s="4"/>
      <c r="N1082" s="4"/>
      <c r="O1082" s="6"/>
    </row>
    <row r="1083" spans="2:15" s="46" customFormat="1">
      <c r="B1083" s="3"/>
      <c r="C1083" s="3"/>
      <c r="G1083" s="4"/>
      <c r="H1083" s="4"/>
      <c r="I1083" s="4"/>
      <c r="J1083" s="4"/>
      <c r="K1083" s="4"/>
      <c r="L1083" s="4"/>
      <c r="M1083" s="4"/>
      <c r="N1083" s="4"/>
      <c r="O1083" s="6"/>
    </row>
    <row r="1084" spans="2:15" s="46" customFormat="1">
      <c r="B1084" s="3"/>
      <c r="C1084" s="3"/>
      <c r="G1084" s="4"/>
      <c r="H1084" s="4"/>
      <c r="I1084" s="4"/>
      <c r="J1084" s="4"/>
      <c r="K1084" s="4"/>
      <c r="L1084" s="4"/>
      <c r="M1084" s="4"/>
      <c r="N1084" s="4"/>
      <c r="O1084" s="6"/>
    </row>
    <row r="1085" spans="2:15" s="46" customFormat="1">
      <c r="B1085" s="3"/>
      <c r="C1085" s="3"/>
      <c r="G1085" s="4"/>
      <c r="H1085" s="4"/>
      <c r="I1085" s="4"/>
      <c r="J1085" s="4"/>
      <c r="K1085" s="4"/>
      <c r="L1085" s="4"/>
      <c r="M1085" s="4"/>
      <c r="N1085" s="4"/>
      <c r="O1085" s="6"/>
    </row>
    <row r="1086" spans="2:15" s="46" customFormat="1">
      <c r="B1086" s="3"/>
      <c r="C1086" s="3"/>
      <c r="G1086" s="4"/>
      <c r="H1086" s="4"/>
      <c r="I1086" s="4"/>
      <c r="J1086" s="4"/>
      <c r="K1086" s="4"/>
      <c r="L1086" s="4"/>
      <c r="M1086" s="4"/>
      <c r="N1086" s="4"/>
      <c r="O1086" s="6"/>
    </row>
    <row r="1087" spans="2:15" s="46" customFormat="1">
      <c r="B1087" s="3"/>
      <c r="C1087" s="3"/>
      <c r="G1087" s="4"/>
      <c r="H1087" s="4"/>
      <c r="I1087" s="4"/>
      <c r="J1087" s="4"/>
      <c r="K1087" s="4"/>
      <c r="L1087" s="4"/>
      <c r="M1087" s="4"/>
      <c r="N1087" s="4"/>
      <c r="O1087" s="6"/>
    </row>
    <row r="1088" spans="2:15" s="46" customFormat="1">
      <c r="B1088" s="3"/>
      <c r="C1088" s="3"/>
      <c r="G1088" s="4"/>
      <c r="H1088" s="4"/>
      <c r="I1088" s="4"/>
      <c r="J1088" s="4"/>
      <c r="K1088" s="4"/>
      <c r="L1088" s="4"/>
      <c r="M1088" s="4"/>
      <c r="N1088" s="4"/>
      <c r="O1088" s="6"/>
    </row>
    <row r="1089" spans="2:15" s="46" customFormat="1">
      <c r="B1089" s="3"/>
      <c r="C1089" s="3"/>
      <c r="G1089" s="4"/>
      <c r="H1089" s="4"/>
      <c r="I1089" s="4"/>
      <c r="J1089" s="4"/>
      <c r="K1089" s="4"/>
      <c r="L1089" s="4"/>
      <c r="M1089" s="4"/>
      <c r="N1089" s="4"/>
      <c r="O1089" s="6"/>
    </row>
    <row r="1090" spans="2:15" s="46" customFormat="1">
      <c r="B1090" s="3"/>
      <c r="C1090" s="3"/>
      <c r="G1090" s="4"/>
      <c r="H1090" s="4"/>
      <c r="I1090" s="4"/>
      <c r="J1090" s="4"/>
      <c r="K1090" s="4"/>
      <c r="L1090" s="4"/>
      <c r="M1090" s="4"/>
      <c r="N1090" s="4"/>
      <c r="O1090" s="6"/>
    </row>
    <row r="1091" spans="2:15" s="46" customFormat="1">
      <c r="B1091" s="3"/>
      <c r="C1091" s="3"/>
      <c r="G1091" s="4"/>
      <c r="H1091" s="4"/>
      <c r="I1091" s="4"/>
      <c r="J1091" s="4"/>
      <c r="K1091" s="4"/>
      <c r="L1091" s="4"/>
      <c r="M1091" s="4"/>
      <c r="N1091" s="4"/>
      <c r="O1091" s="6"/>
    </row>
    <row r="1092" spans="2:15" s="46" customFormat="1">
      <c r="B1092" s="3"/>
      <c r="C1092" s="3"/>
      <c r="G1092" s="4"/>
      <c r="H1092" s="4"/>
      <c r="I1092" s="4"/>
      <c r="J1092" s="4"/>
      <c r="K1092" s="4"/>
      <c r="L1092" s="4"/>
      <c r="M1092" s="4"/>
      <c r="N1092" s="4"/>
      <c r="O1092" s="6"/>
    </row>
    <row r="1093" spans="2:15" s="46" customFormat="1">
      <c r="B1093" s="3"/>
      <c r="C1093" s="3"/>
      <c r="G1093" s="4"/>
      <c r="H1093" s="4"/>
      <c r="I1093" s="4"/>
      <c r="J1093" s="4"/>
      <c r="K1093" s="4"/>
      <c r="L1093" s="4"/>
      <c r="M1093" s="4"/>
      <c r="N1093" s="4"/>
      <c r="O1093" s="6"/>
    </row>
    <row r="1094" spans="2:15" s="46" customFormat="1">
      <c r="B1094" s="3"/>
      <c r="C1094" s="3"/>
      <c r="G1094" s="4"/>
      <c r="H1094" s="4"/>
      <c r="I1094" s="4"/>
      <c r="J1094" s="4"/>
      <c r="K1094" s="4"/>
      <c r="L1094" s="4"/>
      <c r="M1094" s="4"/>
      <c r="N1094" s="4"/>
      <c r="O1094" s="6"/>
    </row>
    <row r="1095" spans="2:15" s="46" customFormat="1">
      <c r="B1095" s="3"/>
      <c r="C1095" s="3"/>
      <c r="G1095" s="4"/>
      <c r="H1095" s="4"/>
      <c r="I1095" s="4"/>
      <c r="J1095" s="4"/>
      <c r="K1095" s="4"/>
      <c r="L1095" s="4"/>
      <c r="M1095" s="4"/>
      <c r="N1095" s="4"/>
      <c r="O1095" s="6"/>
    </row>
    <row r="1096" spans="2:15" s="46" customFormat="1">
      <c r="B1096" s="3"/>
      <c r="C1096" s="3"/>
      <c r="G1096" s="4"/>
      <c r="H1096" s="4"/>
      <c r="I1096" s="4"/>
      <c r="J1096" s="4"/>
      <c r="K1096" s="4"/>
      <c r="L1096" s="4"/>
      <c r="M1096" s="4"/>
      <c r="N1096" s="4"/>
      <c r="O1096" s="6"/>
    </row>
    <row r="1097" spans="2:15" s="46" customFormat="1">
      <c r="B1097" s="3"/>
      <c r="C1097" s="3"/>
      <c r="G1097" s="4"/>
      <c r="H1097" s="4"/>
      <c r="I1097" s="4"/>
      <c r="J1097" s="4"/>
      <c r="K1097" s="4"/>
      <c r="L1097" s="4"/>
      <c r="M1097" s="4"/>
      <c r="N1097" s="4"/>
      <c r="O1097" s="6"/>
    </row>
    <row r="1098" spans="2:15" s="46" customFormat="1">
      <c r="B1098" s="3"/>
      <c r="C1098" s="3"/>
      <c r="G1098" s="4"/>
      <c r="H1098" s="4"/>
      <c r="I1098" s="4"/>
      <c r="J1098" s="4"/>
      <c r="K1098" s="4"/>
      <c r="L1098" s="4"/>
      <c r="M1098" s="4"/>
      <c r="N1098" s="4"/>
      <c r="O1098" s="6"/>
    </row>
    <row r="1099" spans="2:15" s="46" customFormat="1">
      <c r="B1099" s="3"/>
      <c r="C1099" s="3"/>
      <c r="G1099" s="4"/>
      <c r="H1099" s="4"/>
      <c r="I1099" s="4"/>
      <c r="J1099" s="4"/>
      <c r="K1099" s="4"/>
      <c r="L1099" s="4"/>
      <c r="M1099" s="4"/>
      <c r="N1099" s="4"/>
      <c r="O1099" s="6"/>
    </row>
    <row r="1100" spans="2:15" s="46" customFormat="1">
      <c r="B1100" s="3"/>
      <c r="C1100" s="3"/>
      <c r="G1100" s="4"/>
      <c r="H1100" s="4"/>
      <c r="I1100" s="4"/>
      <c r="J1100" s="4"/>
      <c r="K1100" s="4"/>
      <c r="L1100" s="4"/>
      <c r="M1100" s="4"/>
      <c r="N1100" s="4"/>
      <c r="O1100" s="6"/>
    </row>
    <row r="1101" spans="2:15" s="46" customFormat="1">
      <c r="B1101" s="3"/>
      <c r="C1101" s="3"/>
      <c r="G1101" s="4"/>
      <c r="H1101" s="4"/>
      <c r="I1101" s="4"/>
      <c r="J1101" s="4"/>
      <c r="K1101" s="4"/>
      <c r="L1101" s="4"/>
      <c r="M1101" s="4"/>
      <c r="N1101" s="4"/>
      <c r="O1101" s="6"/>
    </row>
    <row r="1102" spans="2:15" s="46" customFormat="1">
      <c r="B1102" s="3"/>
      <c r="C1102" s="3"/>
      <c r="G1102" s="4"/>
      <c r="H1102" s="4"/>
      <c r="I1102" s="4"/>
      <c r="J1102" s="4"/>
      <c r="K1102" s="4"/>
      <c r="L1102" s="4"/>
      <c r="M1102" s="4"/>
      <c r="N1102" s="4"/>
      <c r="O1102" s="6"/>
    </row>
    <row r="1103" spans="2:15" s="46" customFormat="1">
      <c r="B1103" s="3"/>
      <c r="C1103" s="3"/>
      <c r="G1103" s="4"/>
      <c r="H1103" s="4"/>
      <c r="I1103" s="4"/>
      <c r="J1103" s="4"/>
      <c r="K1103" s="4"/>
      <c r="L1103" s="4"/>
      <c r="M1103" s="4"/>
      <c r="N1103" s="4"/>
      <c r="O1103" s="6"/>
    </row>
    <row r="1104" spans="2:15" s="46" customFormat="1">
      <c r="B1104" s="3"/>
      <c r="C1104" s="3"/>
      <c r="G1104" s="4"/>
      <c r="H1104" s="4"/>
      <c r="I1104" s="4"/>
      <c r="J1104" s="4"/>
      <c r="K1104" s="4"/>
      <c r="L1104" s="4"/>
      <c r="M1104" s="4"/>
      <c r="N1104" s="4"/>
      <c r="O1104" s="6"/>
    </row>
    <row r="1105" spans="2:15" s="46" customFormat="1">
      <c r="B1105" s="3"/>
      <c r="C1105" s="3"/>
      <c r="G1105" s="4"/>
      <c r="H1105" s="4"/>
      <c r="I1105" s="4"/>
      <c r="J1105" s="4"/>
      <c r="K1105" s="4"/>
      <c r="L1105" s="4"/>
      <c r="M1105" s="4"/>
      <c r="N1105" s="4"/>
      <c r="O1105" s="6"/>
    </row>
    <row r="1106" spans="2:15" s="46" customFormat="1">
      <c r="B1106" s="3"/>
      <c r="C1106" s="3"/>
      <c r="G1106" s="4"/>
      <c r="H1106" s="4"/>
      <c r="I1106" s="4"/>
      <c r="J1106" s="4"/>
      <c r="K1106" s="4"/>
      <c r="L1106" s="4"/>
      <c r="M1106" s="4"/>
      <c r="N1106" s="4"/>
      <c r="O1106" s="6"/>
    </row>
    <row r="1107" spans="2:15" s="46" customFormat="1">
      <c r="B1107" s="3"/>
      <c r="C1107" s="3"/>
      <c r="G1107" s="4"/>
      <c r="H1107" s="4"/>
      <c r="I1107" s="4"/>
      <c r="J1107" s="4"/>
      <c r="K1107" s="4"/>
      <c r="L1107" s="4"/>
      <c r="M1107" s="4"/>
      <c r="N1107" s="4"/>
      <c r="O1107" s="6"/>
    </row>
    <row r="1108" spans="2:15" s="46" customFormat="1">
      <c r="B1108" s="3"/>
      <c r="C1108" s="3"/>
      <c r="G1108" s="4"/>
      <c r="H1108" s="4"/>
      <c r="I1108" s="4"/>
      <c r="J1108" s="4"/>
      <c r="K1108" s="4"/>
      <c r="L1108" s="4"/>
      <c r="M1108" s="4"/>
      <c r="N1108" s="4"/>
      <c r="O1108" s="6"/>
    </row>
    <row r="1109" spans="2:15" s="46" customFormat="1">
      <c r="B1109" s="3"/>
      <c r="C1109" s="3"/>
      <c r="G1109" s="4"/>
      <c r="H1109" s="4"/>
      <c r="I1109" s="4"/>
      <c r="J1109" s="4"/>
      <c r="K1109" s="4"/>
      <c r="L1109" s="4"/>
      <c r="M1109" s="4"/>
      <c r="N1109" s="4"/>
      <c r="O1109" s="6"/>
    </row>
    <row r="1110" spans="2:15" s="46" customFormat="1">
      <c r="B1110" s="3"/>
      <c r="C1110" s="3"/>
      <c r="G1110" s="4"/>
      <c r="H1110" s="4"/>
      <c r="I1110" s="4"/>
      <c r="J1110" s="4"/>
      <c r="K1110" s="4"/>
      <c r="L1110" s="4"/>
      <c r="M1110" s="4"/>
      <c r="N1110" s="4"/>
      <c r="O1110" s="6"/>
    </row>
    <row r="1111" spans="2:15" s="46" customFormat="1">
      <c r="B1111" s="3"/>
      <c r="C1111" s="3"/>
      <c r="G1111" s="4"/>
      <c r="H1111" s="4"/>
      <c r="I1111" s="4"/>
      <c r="J1111" s="4"/>
      <c r="K1111" s="4"/>
      <c r="L1111" s="4"/>
      <c r="M1111" s="4"/>
      <c r="N1111" s="4"/>
      <c r="O1111" s="6"/>
    </row>
    <row r="1112" spans="2:15" s="46" customFormat="1">
      <c r="B1112" s="3"/>
      <c r="C1112" s="3"/>
      <c r="G1112" s="4"/>
      <c r="H1112" s="4"/>
      <c r="I1112" s="4"/>
      <c r="J1112" s="4"/>
      <c r="K1112" s="4"/>
      <c r="L1112" s="4"/>
      <c r="M1112" s="4"/>
      <c r="N1112" s="4"/>
      <c r="O1112" s="6"/>
    </row>
    <row r="1113" spans="2:15" s="46" customFormat="1">
      <c r="B1113" s="3"/>
      <c r="C1113" s="3"/>
      <c r="G1113" s="4"/>
      <c r="H1113" s="4"/>
      <c r="I1113" s="4"/>
      <c r="J1113" s="4"/>
      <c r="K1113" s="4"/>
      <c r="L1113" s="4"/>
      <c r="M1113" s="4"/>
      <c r="N1113" s="4"/>
      <c r="O1113" s="6"/>
    </row>
    <row r="1114" spans="2:15" s="46" customFormat="1">
      <c r="B1114" s="3"/>
      <c r="C1114" s="3"/>
      <c r="G1114" s="4"/>
      <c r="H1114" s="4"/>
      <c r="I1114" s="4"/>
      <c r="J1114" s="4"/>
      <c r="K1114" s="4"/>
      <c r="L1114" s="4"/>
      <c r="M1114" s="4"/>
      <c r="N1114" s="4"/>
      <c r="O1114" s="6"/>
    </row>
    <row r="1115" spans="2:15" s="46" customFormat="1">
      <c r="B1115" s="3"/>
      <c r="C1115" s="3"/>
      <c r="G1115" s="4"/>
      <c r="H1115" s="4"/>
      <c r="I1115" s="4"/>
      <c r="J1115" s="4"/>
      <c r="K1115" s="4"/>
      <c r="L1115" s="4"/>
      <c r="M1115" s="4"/>
      <c r="N1115" s="4"/>
      <c r="O1115" s="6"/>
    </row>
    <row r="1116" spans="2:15" s="46" customFormat="1">
      <c r="B1116" s="3"/>
      <c r="C1116" s="3"/>
      <c r="G1116" s="4"/>
      <c r="H1116" s="4"/>
      <c r="I1116" s="4"/>
      <c r="J1116" s="4"/>
      <c r="K1116" s="4"/>
      <c r="L1116" s="4"/>
      <c r="M1116" s="4"/>
      <c r="N1116" s="4"/>
      <c r="O1116" s="6"/>
    </row>
    <row r="1117" spans="2:15" s="46" customFormat="1">
      <c r="B1117" s="3"/>
      <c r="C1117" s="3"/>
      <c r="G1117" s="4"/>
      <c r="H1117" s="4"/>
      <c r="I1117" s="4"/>
      <c r="J1117" s="4"/>
      <c r="K1117" s="4"/>
      <c r="L1117" s="4"/>
      <c r="M1117" s="4"/>
      <c r="N1117" s="4"/>
      <c r="O1117" s="6"/>
    </row>
    <row r="1118" spans="2:15" s="46" customFormat="1">
      <c r="B1118" s="3"/>
      <c r="C1118" s="3"/>
      <c r="G1118" s="4"/>
      <c r="H1118" s="4"/>
      <c r="I1118" s="4"/>
      <c r="J1118" s="4"/>
      <c r="K1118" s="4"/>
      <c r="L1118" s="4"/>
      <c r="M1118" s="4"/>
      <c r="N1118" s="4"/>
      <c r="O1118" s="6"/>
    </row>
    <row r="1119" spans="2:15" s="46" customFormat="1">
      <c r="B1119" s="3"/>
      <c r="C1119" s="3"/>
      <c r="G1119" s="4"/>
      <c r="H1119" s="4"/>
      <c r="I1119" s="4"/>
      <c r="J1119" s="4"/>
      <c r="K1119" s="4"/>
      <c r="L1119" s="4"/>
      <c r="M1119" s="4"/>
      <c r="N1119" s="4"/>
      <c r="O1119" s="6"/>
    </row>
    <row r="1120" spans="2:15" s="46" customFormat="1">
      <c r="B1120" s="3"/>
      <c r="C1120" s="3"/>
      <c r="G1120" s="4"/>
      <c r="H1120" s="4"/>
      <c r="I1120" s="4"/>
      <c r="J1120" s="4"/>
      <c r="K1120" s="4"/>
      <c r="L1120" s="4"/>
      <c r="M1120" s="4"/>
      <c r="N1120" s="4"/>
      <c r="O1120" s="6"/>
    </row>
    <row r="1121" spans="2:15" s="46" customFormat="1">
      <c r="B1121" s="3"/>
      <c r="C1121" s="3"/>
      <c r="G1121" s="4"/>
      <c r="H1121" s="4"/>
      <c r="I1121" s="4"/>
      <c r="J1121" s="4"/>
      <c r="K1121" s="4"/>
      <c r="L1121" s="4"/>
      <c r="M1121" s="4"/>
      <c r="N1121" s="4"/>
      <c r="O1121" s="6"/>
    </row>
    <row r="1122" spans="2:15" s="46" customFormat="1">
      <c r="B1122" s="3"/>
      <c r="C1122" s="3"/>
      <c r="G1122" s="4"/>
      <c r="H1122" s="4"/>
      <c r="I1122" s="4"/>
      <c r="J1122" s="4"/>
      <c r="K1122" s="4"/>
      <c r="L1122" s="4"/>
      <c r="M1122" s="4"/>
      <c r="N1122" s="4"/>
      <c r="O1122" s="6"/>
    </row>
    <row r="1123" spans="2:15" s="46" customFormat="1">
      <c r="B1123" s="3"/>
      <c r="C1123" s="3"/>
      <c r="G1123" s="4"/>
      <c r="H1123" s="4"/>
      <c r="I1123" s="4"/>
      <c r="J1123" s="4"/>
      <c r="K1123" s="4"/>
      <c r="L1123" s="4"/>
      <c r="M1123" s="4"/>
      <c r="N1123" s="4"/>
      <c r="O1123" s="6"/>
    </row>
    <row r="1124" spans="2:15" s="46" customFormat="1">
      <c r="B1124" s="3"/>
      <c r="C1124" s="3"/>
      <c r="G1124" s="4"/>
      <c r="H1124" s="4"/>
      <c r="I1124" s="4"/>
      <c r="J1124" s="4"/>
      <c r="K1124" s="4"/>
      <c r="L1124" s="4"/>
      <c r="M1124" s="4"/>
      <c r="N1124" s="4"/>
      <c r="O1124" s="6"/>
    </row>
    <row r="1125" spans="2:15" s="46" customFormat="1">
      <c r="B1125" s="3"/>
      <c r="C1125" s="3"/>
      <c r="G1125" s="4"/>
      <c r="H1125" s="4"/>
      <c r="I1125" s="4"/>
      <c r="J1125" s="4"/>
      <c r="K1125" s="4"/>
      <c r="L1125" s="4"/>
      <c r="M1125" s="4"/>
      <c r="N1125" s="4"/>
      <c r="O1125" s="6"/>
    </row>
    <row r="1126" spans="2:15" s="46" customFormat="1">
      <c r="B1126" s="3"/>
      <c r="C1126" s="3"/>
      <c r="G1126" s="4"/>
      <c r="H1126" s="4"/>
      <c r="I1126" s="4"/>
      <c r="J1126" s="4"/>
      <c r="K1126" s="4"/>
      <c r="L1126" s="4"/>
      <c r="M1126" s="4"/>
      <c r="N1126" s="4"/>
      <c r="O1126" s="6"/>
    </row>
    <row r="1127" spans="2:15" s="46" customFormat="1">
      <c r="B1127" s="3"/>
      <c r="C1127" s="3"/>
      <c r="G1127" s="4"/>
      <c r="H1127" s="4"/>
      <c r="I1127" s="4"/>
      <c r="J1127" s="4"/>
      <c r="K1127" s="4"/>
      <c r="L1127" s="4"/>
      <c r="M1127" s="4"/>
      <c r="N1127" s="4"/>
      <c r="O1127" s="6"/>
    </row>
    <row r="1128" spans="2:15" s="46" customFormat="1">
      <c r="B1128" s="3"/>
      <c r="C1128" s="3"/>
      <c r="G1128" s="4"/>
      <c r="H1128" s="4"/>
      <c r="I1128" s="4"/>
      <c r="J1128" s="4"/>
      <c r="K1128" s="4"/>
      <c r="L1128" s="4"/>
      <c r="M1128" s="4"/>
      <c r="N1128" s="4"/>
      <c r="O1128" s="6"/>
    </row>
    <row r="1129" spans="2:15" s="46" customFormat="1">
      <c r="B1129" s="3"/>
      <c r="C1129" s="3"/>
      <c r="G1129" s="4"/>
      <c r="H1129" s="4"/>
      <c r="I1129" s="4"/>
      <c r="J1129" s="4"/>
      <c r="K1129" s="4"/>
      <c r="L1129" s="4"/>
      <c r="M1129" s="4"/>
      <c r="N1129" s="4"/>
      <c r="O1129" s="6"/>
    </row>
    <row r="1130" spans="2:15" s="46" customFormat="1">
      <c r="B1130" s="3"/>
      <c r="C1130" s="3"/>
      <c r="G1130" s="4"/>
      <c r="H1130" s="4"/>
      <c r="I1130" s="4"/>
      <c r="J1130" s="4"/>
      <c r="K1130" s="4"/>
      <c r="L1130" s="4"/>
      <c r="M1130" s="4"/>
      <c r="N1130" s="4"/>
      <c r="O1130" s="6"/>
    </row>
    <row r="1131" spans="2:15" s="46" customFormat="1">
      <c r="B1131" s="3"/>
      <c r="C1131" s="3"/>
      <c r="G1131" s="4"/>
      <c r="H1131" s="4"/>
      <c r="I1131" s="4"/>
      <c r="J1131" s="4"/>
      <c r="K1131" s="4"/>
      <c r="L1131" s="4"/>
      <c r="M1131" s="4"/>
      <c r="N1131" s="4"/>
      <c r="O1131" s="6"/>
    </row>
    <row r="1132" spans="2:15" s="46" customFormat="1">
      <c r="B1132" s="3"/>
      <c r="C1132" s="3"/>
      <c r="G1132" s="4"/>
      <c r="H1132" s="4"/>
      <c r="I1132" s="4"/>
      <c r="J1132" s="4"/>
      <c r="K1132" s="4"/>
      <c r="L1132" s="4"/>
      <c r="M1132" s="4"/>
      <c r="N1132" s="4"/>
      <c r="O1132" s="6"/>
    </row>
    <row r="1133" spans="2:15" s="46" customFormat="1">
      <c r="B1133" s="3"/>
      <c r="C1133" s="3"/>
      <c r="G1133" s="4"/>
      <c r="H1133" s="4"/>
      <c r="I1133" s="4"/>
      <c r="J1133" s="4"/>
      <c r="K1133" s="4"/>
      <c r="L1133" s="4"/>
      <c r="M1133" s="4"/>
      <c r="N1133" s="4"/>
      <c r="O1133" s="6"/>
    </row>
    <row r="1134" spans="2:15" s="46" customFormat="1">
      <c r="B1134" s="3"/>
      <c r="C1134" s="3"/>
      <c r="G1134" s="4"/>
      <c r="H1134" s="4"/>
      <c r="I1134" s="4"/>
      <c r="J1134" s="4"/>
      <c r="K1134" s="4"/>
      <c r="L1134" s="4"/>
      <c r="M1134" s="4"/>
      <c r="N1134" s="4"/>
      <c r="O1134" s="6"/>
    </row>
    <row r="1135" spans="2:15" s="46" customFormat="1">
      <c r="B1135" s="3"/>
      <c r="C1135" s="3"/>
      <c r="G1135" s="4"/>
      <c r="H1135" s="4"/>
      <c r="I1135" s="4"/>
      <c r="J1135" s="4"/>
      <c r="K1135" s="4"/>
      <c r="L1135" s="4"/>
      <c r="M1135" s="4"/>
      <c r="N1135" s="4"/>
      <c r="O1135" s="6"/>
    </row>
    <row r="1136" spans="2:15" s="46" customFormat="1">
      <c r="B1136" s="3"/>
      <c r="C1136" s="3"/>
      <c r="G1136" s="4"/>
      <c r="H1136" s="4"/>
      <c r="I1136" s="4"/>
      <c r="J1136" s="4"/>
      <c r="K1136" s="4"/>
      <c r="L1136" s="4"/>
      <c r="M1136" s="4"/>
      <c r="N1136" s="4"/>
      <c r="O1136" s="6"/>
    </row>
    <row r="1137" spans="2:15" s="46" customFormat="1">
      <c r="B1137" s="3"/>
      <c r="C1137" s="3"/>
      <c r="G1137" s="4"/>
      <c r="H1137" s="4"/>
      <c r="I1137" s="4"/>
      <c r="J1137" s="4"/>
      <c r="K1137" s="4"/>
      <c r="L1137" s="4"/>
      <c r="M1137" s="4"/>
      <c r="N1137" s="4"/>
      <c r="O1137" s="6"/>
    </row>
    <row r="1138" spans="2:15" s="46" customFormat="1">
      <c r="B1138" s="3"/>
      <c r="C1138" s="3"/>
      <c r="G1138" s="4"/>
      <c r="H1138" s="4"/>
      <c r="I1138" s="4"/>
      <c r="J1138" s="4"/>
      <c r="K1138" s="4"/>
      <c r="L1138" s="4"/>
      <c r="M1138" s="4"/>
      <c r="N1138" s="4"/>
      <c r="O1138" s="6"/>
    </row>
    <row r="1139" spans="2:15" s="46" customFormat="1">
      <c r="B1139" s="3"/>
      <c r="C1139" s="3"/>
      <c r="G1139" s="4"/>
      <c r="H1139" s="4"/>
      <c r="I1139" s="4"/>
      <c r="J1139" s="4"/>
      <c r="K1139" s="4"/>
      <c r="L1139" s="4"/>
      <c r="M1139" s="4"/>
      <c r="N1139" s="4"/>
      <c r="O1139" s="6"/>
    </row>
    <row r="1140" spans="2:15" s="46" customFormat="1">
      <c r="B1140" s="3"/>
      <c r="C1140" s="3"/>
      <c r="G1140" s="4"/>
      <c r="H1140" s="4"/>
      <c r="I1140" s="4"/>
      <c r="J1140" s="4"/>
      <c r="K1140" s="4"/>
      <c r="L1140" s="4"/>
      <c r="M1140" s="4"/>
      <c r="N1140" s="4"/>
      <c r="O1140" s="6"/>
    </row>
    <row r="1141" spans="2:15" s="46" customFormat="1">
      <c r="B1141" s="3"/>
      <c r="C1141" s="3"/>
      <c r="G1141" s="4"/>
      <c r="H1141" s="4"/>
      <c r="I1141" s="4"/>
      <c r="J1141" s="4"/>
      <c r="K1141" s="4"/>
      <c r="L1141" s="4"/>
      <c r="M1141" s="4"/>
      <c r="N1141" s="4"/>
      <c r="O1141" s="6"/>
    </row>
    <row r="1142" spans="2:15" s="46" customFormat="1">
      <c r="B1142" s="3"/>
      <c r="C1142" s="3"/>
      <c r="G1142" s="4"/>
      <c r="H1142" s="4"/>
      <c r="I1142" s="4"/>
      <c r="J1142" s="4"/>
      <c r="K1142" s="4"/>
      <c r="L1142" s="4"/>
      <c r="M1142" s="4"/>
      <c r="N1142" s="4"/>
      <c r="O1142" s="6"/>
    </row>
    <row r="1143" spans="2:15" s="46" customFormat="1">
      <c r="B1143" s="3"/>
      <c r="C1143" s="3"/>
      <c r="G1143" s="4"/>
      <c r="H1143" s="4"/>
      <c r="I1143" s="4"/>
      <c r="J1143" s="4"/>
      <c r="K1143" s="4"/>
      <c r="L1143" s="4"/>
      <c r="M1143" s="4"/>
      <c r="N1143" s="4"/>
      <c r="O1143" s="6"/>
    </row>
    <row r="1144" spans="2:15" s="46" customFormat="1">
      <c r="B1144" s="3"/>
      <c r="C1144" s="3"/>
      <c r="G1144" s="4"/>
      <c r="H1144" s="4"/>
      <c r="I1144" s="4"/>
      <c r="J1144" s="4"/>
      <c r="K1144" s="4"/>
      <c r="L1144" s="4"/>
      <c r="M1144" s="4"/>
      <c r="N1144" s="4"/>
      <c r="O1144" s="6"/>
    </row>
    <row r="1145" spans="2:15" s="46" customFormat="1">
      <c r="B1145" s="3"/>
      <c r="C1145" s="3"/>
      <c r="G1145" s="4"/>
      <c r="H1145" s="4"/>
      <c r="I1145" s="4"/>
      <c r="J1145" s="4"/>
      <c r="K1145" s="4"/>
      <c r="L1145" s="4"/>
      <c r="M1145" s="4"/>
      <c r="N1145" s="4"/>
      <c r="O1145" s="6"/>
    </row>
    <row r="1146" spans="2:15" s="46" customFormat="1">
      <c r="B1146" s="3"/>
      <c r="C1146" s="3"/>
      <c r="G1146" s="4"/>
      <c r="H1146" s="4"/>
      <c r="I1146" s="4"/>
      <c r="J1146" s="4"/>
      <c r="K1146" s="4"/>
      <c r="L1146" s="4"/>
      <c r="M1146" s="4"/>
      <c r="N1146" s="4"/>
      <c r="O1146" s="6"/>
    </row>
    <row r="1147" spans="2:15" s="46" customFormat="1">
      <c r="B1147" s="3"/>
      <c r="C1147" s="3"/>
      <c r="G1147" s="4"/>
      <c r="H1147" s="4"/>
      <c r="I1147" s="4"/>
      <c r="J1147" s="4"/>
      <c r="K1147" s="4"/>
      <c r="L1147" s="4"/>
      <c r="M1147" s="4"/>
      <c r="N1147" s="4"/>
      <c r="O1147" s="6"/>
    </row>
    <row r="1148" spans="2:15" s="46" customFormat="1">
      <c r="B1148" s="3"/>
      <c r="C1148" s="3"/>
      <c r="G1148" s="4"/>
      <c r="H1148" s="4"/>
      <c r="I1148" s="4"/>
      <c r="J1148" s="4"/>
      <c r="K1148" s="4"/>
      <c r="L1148" s="4"/>
      <c r="M1148" s="4"/>
      <c r="N1148" s="4"/>
      <c r="O1148" s="6"/>
    </row>
    <row r="1149" spans="2:15" s="46" customFormat="1">
      <c r="B1149" s="3"/>
      <c r="C1149" s="3"/>
      <c r="G1149" s="4"/>
      <c r="H1149" s="4"/>
      <c r="I1149" s="4"/>
      <c r="J1149" s="4"/>
      <c r="K1149" s="4"/>
      <c r="L1149" s="4"/>
      <c r="M1149" s="4"/>
      <c r="N1149" s="4"/>
      <c r="O1149" s="6"/>
    </row>
    <row r="1150" spans="2:15" s="46" customFormat="1">
      <c r="B1150" s="3"/>
      <c r="C1150" s="3"/>
      <c r="G1150" s="4"/>
      <c r="H1150" s="4"/>
      <c r="I1150" s="4"/>
      <c r="J1150" s="4"/>
      <c r="K1150" s="4"/>
      <c r="L1150" s="4"/>
      <c r="M1150" s="4"/>
      <c r="N1150" s="4"/>
      <c r="O1150" s="6"/>
    </row>
    <row r="1151" spans="2:15" s="46" customFormat="1">
      <c r="B1151" s="3"/>
      <c r="C1151" s="3"/>
      <c r="G1151" s="4"/>
      <c r="H1151" s="4"/>
      <c r="I1151" s="4"/>
      <c r="J1151" s="4"/>
      <c r="K1151" s="4"/>
      <c r="L1151" s="4"/>
      <c r="M1151" s="4"/>
      <c r="N1151" s="4"/>
      <c r="O1151" s="6"/>
    </row>
    <row r="1152" spans="2:15" s="46" customFormat="1">
      <c r="B1152" s="3"/>
      <c r="C1152" s="3"/>
      <c r="G1152" s="4"/>
      <c r="H1152" s="4"/>
      <c r="I1152" s="4"/>
      <c r="J1152" s="4"/>
      <c r="K1152" s="4"/>
      <c r="L1152" s="4"/>
      <c r="M1152" s="4"/>
      <c r="N1152" s="4"/>
      <c r="O1152" s="6"/>
    </row>
    <row r="1153" spans="2:15" s="46" customFormat="1">
      <c r="B1153" s="3"/>
      <c r="C1153" s="3"/>
      <c r="G1153" s="4"/>
      <c r="H1153" s="4"/>
      <c r="I1153" s="4"/>
      <c r="J1153" s="4"/>
      <c r="K1153" s="4"/>
      <c r="L1153" s="4"/>
      <c r="M1153" s="4"/>
      <c r="N1153" s="4"/>
      <c r="O1153" s="6"/>
    </row>
    <row r="1154" spans="2:15" s="46" customFormat="1">
      <c r="B1154" s="3"/>
      <c r="C1154" s="3"/>
      <c r="G1154" s="4"/>
      <c r="H1154" s="4"/>
      <c r="I1154" s="4"/>
      <c r="J1154" s="4"/>
      <c r="K1154" s="4"/>
      <c r="L1154" s="4"/>
      <c r="M1154" s="4"/>
      <c r="N1154" s="4"/>
      <c r="O1154" s="6"/>
    </row>
    <row r="1155" spans="2:15" s="46" customFormat="1">
      <c r="B1155" s="3"/>
      <c r="C1155" s="3"/>
      <c r="G1155" s="4"/>
      <c r="H1155" s="4"/>
      <c r="I1155" s="4"/>
      <c r="J1155" s="4"/>
      <c r="K1155" s="4"/>
      <c r="L1155" s="4"/>
      <c r="M1155" s="4"/>
      <c r="N1155" s="4"/>
      <c r="O1155" s="6"/>
    </row>
    <row r="1156" spans="2:15" s="46" customFormat="1">
      <c r="B1156" s="3"/>
      <c r="C1156" s="3"/>
      <c r="G1156" s="4"/>
      <c r="H1156" s="4"/>
      <c r="I1156" s="4"/>
      <c r="J1156" s="4"/>
      <c r="K1156" s="4"/>
      <c r="L1156" s="4"/>
      <c r="M1156" s="4"/>
      <c r="N1156" s="4"/>
      <c r="O1156" s="6"/>
    </row>
    <row r="1157" spans="2:15" s="46" customFormat="1">
      <c r="B1157" s="3"/>
      <c r="C1157" s="3"/>
      <c r="G1157" s="4"/>
      <c r="H1157" s="4"/>
      <c r="I1157" s="4"/>
      <c r="J1157" s="4"/>
      <c r="K1157" s="4"/>
      <c r="L1157" s="4"/>
      <c r="M1157" s="4"/>
      <c r="N1157" s="4"/>
      <c r="O1157" s="6"/>
    </row>
    <row r="1158" spans="2:15" s="46" customFormat="1">
      <c r="B1158" s="3"/>
      <c r="C1158" s="3"/>
      <c r="G1158" s="4"/>
      <c r="H1158" s="4"/>
      <c r="I1158" s="4"/>
      <c r="J1158" s="4"/>
      <c r="K1158" s="4"/>
      <c r="L1158" s="4"/>
      <c r="M1158" s="4"/>
      <c r="N1158" s="4"/>
      <c r="O1158" s="6"/>
    </row>
    <row r="1159" spans="2:15" s="46" customFormat="1">
      <c r="B1159" s="3"/>
      <c r="C1159" s="3"/>
      <c r="G1159" s="4"/>
      <c r="H1159" s="4"/>
      <c r="I1159" s="4"/>
      <c r="J1159" s="4"/>
      <c r="K1159" s="4"/>
      <c r="L1159" s="4"/>
      <c r="M1159" s="4"/>
      <c r="N1159" s="4"/>
      <c r="O1159" s="6"/>
    </row>
    <row r="1160" spans="2:15" s="46" customFormat="1">
      <c r="B1160" s="3"/>
      <c r="C1160" s="3"/>
      <c r="G1160" s="4"/>
      <c r="H1160" s="4"/>
      <c r="I1160" s="4"/>
      <c r="J1160" s="4"/>
      <c r="K1160" s="4"/>
      <c r="L1160" s="4"/>
      <c r="M1160" s="4"/>
      <c r="N1160" s="4"/>
      <c r="O1160" s="6"/>
    </row>
    <row r="1161" spans="2:15" s="46" customFormat="1">
      <c r="B1161" s="3"/>
      <c r="C1161" s="3"/>
      <c r="G1161" s="4"/>
      <c r="H1161" s="4"/>
      <c r="I1161" s="4"/>
      <c r="J1161" s="4"/>
      <c r="K1161" s="4"/>
      <c r="L1161" s="4"/>
      <c r="M1161" s="4"/>
      <c r="N1161" s="4"/>
      <c r="O1161" s="6"/>
    </row>
    <row r="1162" spans="2:15" s="46" customFormat="1">
      <c r="B1162" s="3"/>
      <c r="C1162" s="3"/>
      <c r="G1162" s="4"/>
      <c r="H1162" s="4"/>
      <c r="I1162" s="4"/>
      <c r="J1162" s="4"/>
      <c r="K1162" s="4"/>
      <c r="L1162" s="4"/>
      <c r="M1162" s="4"/>
      <c r="N1162" s="4"/>
      <c r="O1162" s="6"/>
    </row>
    <row r="1163" spans="2:15" s="46" customFormat="1">
      <c r="B1163" s="3"/>
      <c r="C1163" s="3"/>
      <c r="G1163" s="4"/>
      <c r="H1163" s="4"/>
      <c r="I1163" s="4"/>
      <c r="J1163" s="4"/>
      <c r="K1163" s="4"/>
      <c r="L1163" s="4"/>
      <c r="M1163" s="4"/>
      <c r="N1163" s="4"/>
      <c r="O1163" s="6"/>
    </row>
    <row r="1164" spans="2:15" s="46" customFormat="1">
      <c r="B1164" s="3"/>
      <c r="C1164" s="3"/>
      <c r="G1164" s="4"/>
      <c r="H1164" s="4"/>
      <c r="I1164" s="4"/>
      <c r="J1164" s="4"/>
      <c r="K1164" s="4"/>
      <c r="L1164" s="4"/>
      <c r="M1164" s="4"/>
      <c r="N1164" s="4"/>
      <c r="O1164" s="6"/>
    </row>
    <row r="1165" spans="2:15" s="46" customFormat="1">
      <c r="B1165" s="3"/>
      <c r="C1165" s="3"/>
      <c r="G1165" s="4"/>
      <c r="H1165" s="4"/>
      <c r="I1165" s="4"/>
      <c r="J1165" s="4"/>
      <c r="K1165" s="4"/>
      <c r="L1165" s="4"/>
      <c r="M1165" s="4"/>
      <c r="N1165" s="4"/>
      <c r="O1165" s="6"/>
    </row>
    <row r="1166" spans="2:15" s="46" customFormat="1">
      <c r="B1166" s="3"/>
      <c r="C1166" s="3"/>
      <c r="G1166" s="4"/>
      <c r="H1166" s="4"/>
      <c r="I1166" s="4"/>
      <c r="J1166" s="4"/>
      <c r="K1166" s="4"/>
      <c r="L1166" s="4"/>
      <c r="M1166" s="4"/>
      <c r="N1166" s="4"/>
      <c r="O1166" s="6"/>
    </row>
    <row r="1167" spans="2:15" s="46" customFormat="1">
      <c r="B1167" s="3"/>
      <c r="C1167" s="3"/>
      <c r="G1167" s="4"/>
      <c r="H1167" s="4"/>
      <c r="I1167" s="4"/>
      <c r="J1167" s="4"/>
      <c r="K1167" s="4"/>
      <c r="L1167" s="4"/>
      <c r="M1167" s="4"/>
      <c r="N1167" s="4"/>
      <c r="O1167" s="6"/>
    </row>
    <row r="1168" spans="2:15" s="46" customFormat="1">
      <c r="B1168" s="3"/>
      <c r="C1168" s="3"/>
      <c r="G1168" s="4"/>
      <c r="H1168" s="4"/>
      <c r="I1168" s="4"/>
      <c r="J1168" s="4"/>
      <c r="K1168" s="4"/>
      <c r="L1168" s="4"/>
      <c r="M1168" s="4"/>
      <c r="N1168" s="4"/>
      <c r="O1168" s="6"/>
    </row>
    <row r="1169" spans="2:15" s="46" customFormat="1">
      <c r="B1169" s="3"/>
      <c r="C1169" s="3"/>
      <c r="G1169" s="4"/>
      <c r="H1169" s="4"/>
      <c r="I1169" s="4"/>
      <c r="J1169" s="4"/>
      <c r="K1169" s="4"/>
      <c r="L1169" s="4"/>
      <c r="M1169" s="4"/>
      <c r="N1169" s="4"/>
      <c r="O1169" s="6"/>
    </row>
    <row r="1170" spans="2:15" s="46" customFormat="1">
      <c r="B1170" s="3"/>
      <c r="C1170" s="3"/>
      <c r="G1170" s="4"/>
      <c r="H1170" s="4"/>
      <c r="I1170" s="4"/>
      <c r="J1170" s="4"/>
      <c r="K1170" s="4"/>
      <c r="L1170" s="4"/>
      <c r="M1170" s="4"/>
      <c r="N1170" s="4"/>
      <c r="O1170" s="6"/>
    </row>
    <row r="1171" spans="2:15" s="46" customFormat="1">
      <c r="B1171" s="3"/>
      <c r="C1171" s="3"/>
      <c r="G1171" s="4"/>
      <c r="H1171" s="4"/>
      <c r="I1171" s="4"/>
      <c r="J1171" s="4"/>
      <c r="K1171" s="4"/>
      <c r="L1171" s="4"/>
      <c r="M1171" s="4"/>
      <c r="N1171" s="4"/>
      <c r="O1171" s="6"/>
    </row>
    <row r="1172" spans="2:15" s="46" customFormat="1">
      <c r="B1172" s="3"/>
      <c r="C1172" s="3"/>
      <c r="G1172" s="4"/>
      <c r="H1172" s="4"/>
      <c r="I1172" s="4"/>
      <c r="J1172" s="4"/>
      <c r="K1172" s="4"/>
      <c r="L1172" s="4"/>
      <c r="M1172" s="4"/>
      <c r="N1172" s="4"/>
      <c r="O1172" s="6"/>
    </row>
    <row r="1173" spans="2:15" s="46" customFormat="1">
      <c r="B1173" s="3"/>
      <c r="C1173" s="3"/>
      <c r="G1173" s="4"/>
      <c r="H1173" s="4"/>
      <c r="I1173" s="4"/>
      <c r="J1173" s="4"/>
      <c r="K1173" s="4"/>
      <c r="L1173" s="4"/>
      <c r="M1173" s="4"/>
      <c r="N1173" s="4"/>
      <c r="O1173" s="6"/>
    </row>
    <row r="1174" spans="2:15" s="46" customFormat="1">
      <c r="B1174" s="3"/>
      <c r="C1174" s="3"/>
      <c r="G1174" s="4"/>
      <c r="H1174" s="4"/>
      <c r="I1174" s="4"/>
      <c r="J1174" s="4"/>
      <c r="K1174" s="4"/>
      <c r="L1174" s="4"/>
      <c r="M1174" s="4"/>
      <c r="N1174" s="4"/>
      <c r="O1174" s="6"/>
    </row>
    <row r="1175" spans="2:15" s="46" customFormat="1">
      <c r="B1175" s="3"/>
      <c r="C1175" s="3"/>
      <c r="G1175" s="4"/>
      <c r="H1175" s="4"/>
      <c r="I1175" s="4"/>
      <c r="J1175" s="4"/>
      <c r="K1175" s="4"/>
      <c r="L1175" s="4"/>
      <c r="M1175" s="4"/>
      <c r="N1175" s="4"/>
      <c r="O1175" s="6"/>
    </row>
    <row r="1176" spans="2:15" s="46" customFormat="1">
      <c r="B1176" s="3"/>
      <c r="C1176" s="3"/>
      <c r="G1176" s="4"/>
      <c r="H1176" s="4"/>
      <c r="I1176" s="4"/>
      <c r="J1176" s="4"/>
      <c r="K1176" s="4"/>
      <c r="L1176" s="4"/>
      <c r="M1176" s="4"/>
      <c r="N1176" s="4"/>
      <c r="O1176" s="6"/>
    </row>
    <row r="1177" spans="2:15" s="46" customFormat="1">
      <c r="B1177" s="3"/>
      <c r="C1177" s="3"/>
      <c r="G1177" s="4"/>
      <c r="H1177" s="4"/>
      <c r="I1177" s="4"/>
      <c r="J1177" s="4"/>
      <c r="K1177" s="4"/>
      <c r="L1177" s="4"/>
      <c r="M1177" s="4"/>
      <c r="N1177" s="4"/>
      <c r="O1177" s="6"/>
    </row>
    <row r="1178" spans="2:15" s="46" customFormat="1">
      <c r="B1178" s="3"/>
      <c r="C1178" s="3"/>
      <c r="G1178" s="4"/>
      <c r="H1178" s="4"/>
      <c r="I1178" s="4"/>
      <c r="J1178" s="4"/>
      <c r="K1178" s="4"/>
      <c r="L1178" s="4"/>
      <c r="M1178" s="4"/>
      <c r="N1178" s="4"/>
      <c r="O1178" s="6"/>
    </row>
    <row r="1179" spans="2:15" s="46" customFormat="1">
      <c r="B1179" s="3"/>
      <c r="C1179" s="3"/>
      <c r="G1179" s="4"/>
      <c r="H1179" s="4"/>
      <c r="I1179" s="4"/>
      <c r="J1179" s="4"/>
      <c r="K1179" s="4"/>
      <c r="L1179" s="4"/>
      <c r="M1179" s="4"/>
      <c r="N1179" s="4"/>
      <c r="O1179" s="6"/>
    </row>
    <row r="1180" spans="2:15" s="46" customFormat="1">
      <c r="B1180" s="3"/>
      <c r="C1180" s="3"/>
      <c r="G1180" s="4"/>
      <c r="H1180" s="4"/>
      <c r="I1180" s="4"/>
      <c r="J1180" s="4"/>
      <c r="K1180" s="4"/>
      <c r="L1180" s="4"/>
      <c r="M1180" s="4"/>
      <c r="N1180" s="4"/>
      <c r="O1180" s="6"/>
    </row>
    <row r="1181" spans="2:15" s="46" customFormat="1">
      <c r="B1181" s="3"/>
      <c r="C1181" s="3"/>
      <c r="G1181" s="4"/>
      <c r="H1181" s="4"/>
      <c r="I1181" s="4"/>
      <c r="J1181" s="4"/>
      <c r="K1181" s="4"/>
      <c r="L1181" s="4"/>
      <c r="M1181" s="4"/>
      <c r="N1181" s="4"/>
      <c r="O1181" s="6"/>
    </row>
    <row r="1182" spans="2:15" s="46" customFormat="1">
      <c r="B1182" s="3"/>
      <c r="C1182" s="3"/>
      <c r="G1182" s="4"/>
      <c r="H1182" s="4"/>
      <c r="I1182" s="4"/>
      <c r="J1182" s="4"/>
      <c r="K1182" s="4"/>
      <c r="L1182" s="4"/>
      <c r="M1182" s="4"/>
      <c r="N1182" s="4"/>
      <c r="O1182" s="6"/>
    </row>
    <row r="1183" spans="2:15" s="46" customFormat="1">
      <c r="B1183" s="3"/>
      <c r="C1183" s="3"/>
      <c r="G1183" s="4"/>
      <c r="H1183" s="4"/>
      <c r="I1183" s="4"/>
      <c r="J1183" s="4"/>
      <c r="K1183" s="4"/>
      <c r="L1183" s="4"/>
      <c r="M1183" s="4"/>
      <c r="N1183" s="4"/>
      <c r="O1183" s="6"/>
    </row>
    <row r="1184" spans="2:15" s="46" customFormat="1">
      <c r="B1184" s="3"/>
      <c r="C1184" s="3"/>
      <c r="G1184" s="4"/>
      <c r="H1184" s="4"/>
      <c r="I1184" s="4"/>
      <c r="J1184" s="4"/>
      <c r="K1184" s="4"/>
      <c r="L1184" s="4"/>
      <c r="M1184" s="4"/>
      <c r="N1184" s="4"/>
      <c r="O1184" s="6"/>
    </row>
    <row r="1185" spans="2:15" s="46" customFormat="1">
      <c r="B1185" s="3"/>
      <c r="C1185" s="3"/>
      <c r="G1185" s="4"/>
      <c r="H1185" s="4"/>
      <c r="I1185" s="4"/>
      <c r="J1185" s="4"/>
      <c r="K1185" s="4"/>
      <c r="L1185" s="4"/>
      <c r="M1185" s="4"/>
      <c r="N1185" s="4"/>
      <c r="O1185" s="6"/>
    </row>
    <row r="1186" spans="2:15" s="46" customFormat="1">
      <c r="B1186" s="3"/>
      <c r="C1186" s="3"/>
      <c r="G1186" s="4"/>
      <c r="H1186" s="4"/>
      <c r="I1186" s="4"/>
      <c r="J1186" s="4"/>
      <c r="K1186" s="4"/>
      <c r="L1186" s="4"/>
      <c r="M1186" s="4"/>
      <c r="N1186" s="4"/>
      <c r="O1186" s="6"/>
    </row>
    <row r="1187" spans="2:15" s="46" customFormat="1">
      <c r="B1187" s="3"/>
      <c r="C1187" s="3"/>
      <c r="G1187" s="4"/>
      <c r="H1187" s="4"/>
      <c r="I1187" s="4"/>
      <c r="J1187" s="4"/>
      <c r="K1187" s="4"/>
      <c r="L1187" s="4"/>
      <c r="M1187" s="4"/>
      <c r="N1187" s="4"/>
      <c r="O1187" s="6"/>
    </row>
    <row r="1188" spans="2:15" s="46" customFormat="1">
      <c r="B1188" s="3"/>
      <c r="C1188" s="3"/>
      <c r="G1188" s="4"/>
      <c r="H1188" s="4"/>
      <c r="I1188" s="4"/>
      <c r="J1188" s="4"/>
      <c r="K1188" s="4"/>
      <c r="L1188" s="4"/>
      <c r="M1188" s="4"/>
      <c r="N1188" s="4"/>
      <c r="O1188" s="6"/>
    </row>
    <row r="1189" spans="2:15" s="46" customFormat="1">
      <c r="B1189" s="3"/>
      <c r="C1189" s="3"/>
      <c r="G1189" s="4"/>
      <c r="H1189" s="4"/>
      <c r="I1189" s="4"/>
      <c r="J1189" s="4"/>
      <c r="K1189" s="4"/>
      <c r="L1189" s="4"/>
      <c r="M1189" s="4"/>
      <c r="N1189" s="4"/>
      <c r="O1189" s="6"/>
    </row>
    <row r="1190" spans="2:15" s="46" customFormat="1">
      <c r="B1190" s="3"/>
      <c r="C1190" s="3"/>
      <c r="G1190" s="4"/>
      <c r="H1190" s="4"/>
      <c r="I1190" s="4"/>
      <c r="J1190" s="4"/>
      <c r="K1190" s="4"/>
      <c r="L1190" s="4"/>
      <c r="M1190" s="4"/>
      <c r="N1190" s="4"/>
      <c r="O1190" s="6"/>
    </row>
    <row r="1191" spans="2:15" s="46" customFormat="1">
      <c r="B1191" s="3"/>
      <c r="C1191" s="3"/>
      <c r="G1191" s="4"/>
      <c r="H1191" s="4"/>
      <c r="I1191" s="4"/>
      <c r="J1191" s="4"/>
      <c r="K1191" s="4"/>
      <c r="L1191" s="4"/>
      <c r="M1191" s="4"/>
      <c r="N1191" s="4"/>
      <c r="O1191" s="6"/>
    </row>
    <row r="1192" spans="2:15" s="46" customFormat="1">
      <c r="B1192" s="3"/>
      <c r="C1192" s="3"/>
      <c r="G1192" s="4"/>
      <c r="H1192" s="4"/>
      <c r="I1192" s="4"/>
      <c r="J1192" s="4"/>
      <c r="K1192" s="4"/>
      <c r="L1192" s="4"/>
      <c r="M1192" s="4"/>
      <c r="N1192" s="4"/>
      <c r="O1192" s="6"/>
    </row>
    <row r="1193" spans="2:15" s="46" customFormat="1">
      <c r="B1193" s="3"/>
      <c r="C1193" s="3"/>
      <c r="G1193" s="4"/>
      <c r="H1193" s="4"/>
      <c r="I1193" s="4"/>
      <c r="J1193" s="4"/>
      <c r="K1193" s="4"/>
      <c r="L1193" s="4"/>
      <c r="M1193" s="4"/>
      <c r="N1193" s="4"/>
      <c r="O1193" s="6"/>
    </row>
    <row r="1194" spans="2:15" s="46" customFormat="1">
      <c r="B1194" s="3"/>
      <c r="C1194" s="3"/>
      <c r="G1194" s="4"/>
      <c r="H1194" s="4"/>
      <c r="I1194" s="4"/>
      <c r="J1194" s="4"/>
      <c r="K1194" s="4"/>
      <c r="L1194" s="4"/>
      <c r="M1194" s="4"/>
      <c r="N1194" s="4"/>
      <c r="O1194" s="6"/>
    </row>
    <row r="1195" spans="2:15" s="46" customFormat="1">
      <c r="B1195" s="3"/>
      <c r="C1195" s="3"/>
      <c r="G1195" s="4"/>
      <c r="H1195" s="4"/>
      <c r="I1195" s="4"/>
      <c r="J1195" s="4"/>
      <c r="K1195" s="4"/>
      <c r="L1195" s="4"/>
      <c r="M1195" s="4"/>
      <c r="N1195" s="4"/>
      <c r="O1195" s="6"/>
    </row>
    <row r="1196" spans="2:15" s="46" customFormat="1">
      <c r="B1196" s="3"/>
      <c r="C1196" s="3"/>
      <c r="G1196" s="4"/>
      <c r="H1196" s="4"/>
      <c r="I1196" s="4"/>
      <c r="J1196" s="4"/>
      <c r="K1196" s="4"/>
      <c r="L1196" s="4"/>
      <c r="M1196" s="4"/>
      <c r="N1196" s="4"/>
      <c r="O1196" s="6"/>
    </row>
    <row r="1197" spans="2:15" s="46" customFormat="1">
      <c r="B1197" s="3"/>
      <c r="C1197" s="3"/>
      <c r="G1197" s="4"/>
      <c r="H1197" s="4"/>
      <c r="I1197" s="4"/>
      <c r="J1197" s="4"/>
      <c r="K1197" s="4"/>
      <c r="L1197" s="4"/>
      <c r="M1197" s="4"/>
      <c r="N1197" s="4"/>
      <c r="O1197" s="6"/>
    </row>
    <row r="1198" spans="2:15" s="46" customFormat="1">
      <c r="B1198" s="3"/>
      <c r="C1198" s="3"/>
      <c r="G1198" s="4"/>
      <c r="H1198" s="4"/>
      <c r="I1198" s="4"/>
      <c r="J1198" s="4"/>
      <c r="K1198" s="4"/>
      <c r="L1198" s="4"/>
      <c r="M1198" s="4"/>
      <c r="N1198" s="4"/>
      <c r="O1198" s="6"/>
    </row>
    <row r="1199" spans="2:15" s="46" customFormat="1">
      <c r="B1199" s="3"/>
      <c r="C1199" s="3"/>
      <c r="G1199" s="4"/>
      <c r="H1199" s="4"/>
      <c r="I1199" s="4"/>
      <c r="J1199" s="4"/>
      <c r="K1199" s="4"/>
      <c r="L1199" s="4"/>
      <c r="M1199" s="4"/>
      <c r="N1199" s="4"/>
      <c r="O1199" s="6"/>
    </row>
    <row r="1200" spans="2:15" s="46" customFormat="1">
      <c r="B1200" s="3"/>
      <c r="C1200" s="3"/>
      <c r="G1200" s="4"/>
      <c r="H1200" s="4"/>
      <c r="I1200" s="4"/>
      <c r="J1200" s="4"/>
      <c r="K1200" s="4"/>
      <c r="L1200" s="4"/>
      <c r="M1200" s="4"/>
      <c r="N1200" s="4"/>
      <c r="O1200" s="6"/>
    </row>
    <row r="1201" spans="2:15" s="46" customFormat="1">
      <c r="B1201" s="3"/>
      <c r="C1201" s="3"/>
      <c r="G1201" s="4"/>
      <c r="H1201" s="4"/>
      <c r="I1201" s="4"/>
      <c r="J1201" s="4"/>
      <c r="K1201" s="4"/>
      <c r="L1201" s="4"/>
      <c r="M1201" s="4"/>
      <c r="N1201" s="4"/>
      <c r="O1201" s="6"/>
    </row>
    <row r="1202" spans="2:15" s="46" customFormat="1">
      <c r="B1202" s="3"/>
      <c r="C1202" s="3"/>
      <c r="G1202" s="4"/>
      <c r="H1202" s="4"/>
      <c r="I1202" s="4"/>
      <c r="J1202" s="4"/>
      <c r="K1202" s="4"/>
      <c r="L1202" s="4"/>
      <c r="M1202" s="4"/>
      <c r="N1202" s="4"/>
      <c r="O1202" s="6"/>
    </row>
    <row r="1203" spans="2:15" s="46" customFormat="1">
      <c r="B1203" s="3"/>
      <c r="C1203" s="3"/>
      <c r="G1203" s="4"/>
      <c r="H1203" s="4"/>
      <c r="I1203" s="4"/>
      <c r="J1203" s="4"/>
      <c r="K1203" s="4"/>
      <c r="L1203" s="4"/>
      <c r="M1203" s="4"/>
      <c r="N1203" s="4"/>
      <c r="O1203" s="6"/>
    </row>
    <row r="1204" spans="2:15" s="46" customFormat="1">
      <c r="B1204" s="3"/>
      <c r="C1204" s="3"/>
      <c r="G1204" s="4"/>
      <c r="H1204" s="4"/>
      <c r="I1204" s="4"/>
      <c r="J1204" s="4"/>
      <c r="K1204" s="4"/>
      <c r="L1204" s="4"/>
      <c r="M1204" s="4"/>
      <c r="N1204" s="4"/>
      <c r="O1204" s="6"/>
    </row>
    <row r="1205" spans="2:15" s="46" customFormat="1">
      <c r="B1205" s="3"/>
      <c r="C1205" s="3"/>
      <c r="G1205" s="4"/>
      <c r="H1205" s="4"/>
      <c r="I1205" s="4"/>
      <c r="J1205" s="4"/>
      <c r="K1205" s="4"/>
      <c r="L1205" s="4"/>
      <c r="M1205" s="4"/>
      <c r="N1205" s="4"/>
      <c r="O1205" s="6"/>
    </row>
    <row r="1206" spans="2:15" s="46" customFormat="1">
      <c r="B1206" s="3"/>
      <c r="C1206" s="3"/>
      <c r="G1206" s="4"/>
      <c r="H1206" s="4"/>
      <c r="I1206" s="4"/>
      <c r="J1206" s="4"/>
      <c r="K1206" s="4"/>
      <c r="L1206" s="4"/>
      <c r="M1206" s="4"/>
      <c r="N1206" s="4"/>
      <c r="O1206" s="6"/>
    </row>
    <row r="1207" spans="2:15" s="46" customFormat="1">
      <c r="B1207" s="3"/>
      <c r="C1207" s="3"/>
      <c r="G1207" s="4"/>
      <c r="H1207" s="4"/>
      <c r="I1207" s="4"/>
      <c r="J1207" s="4"/>
      <c r="K1207" s="4"/>
      <c r="L1207" s="4"/>
      <c r="M1207" s="4"/>
      <c r="N1207" s="4"/>
      <c r="O1207" s="6"/>
    </row>
    <row r="1208" spans="2:15" s="46" customFormat="1">
      <c r="B1208" s="3"/>
      <c r="C1208" s="3"/>
      <c r="G1208" s="4"/>
      <c r="H1208" s="4"/>
      <c r="I1208" s="4"/>
      <c r="J1208" s="4"/>
      <c r="K1208" s="4"/>
      <c r="L1208" s="4"/>
      <c r="M1208" s="4"/>
      <c r="N1208" s="4"/>
      <c r="O1208" s="6"/>
    </row>
    <row r="1209" spans="2:15" s="46" customFormat="1">
      <c r="B1209" s="3"/>
      <c r="C1209" s="3"/>
      <c r="G1209" s="4"/>
      <c r="H1209" s="4"/>
      <c r="I1209" s="4"/>
      <c r="J1209" s="4"/>
      <c r="K1209" s="4"/>
      <c r="L1209" s="4"/>
      <c r="M1209" s="4"/>
      <c r="N1209" s="4"/>
      <c r="O1209" s="6"/>
    </row>
    <row r="1210" spans="2:15" s="46" customFormat="1">
      <c r="B1210" s="3"/>
      <c r="C1210" s="3"/>
      <c r="G1210" s="4"/>
      <c r="H1210" s="4"/>
      <c r="I1210" s="4"/>
      <c r="J1210" s="4"/>
      <c r="K1210" s="4"/>
      <c r="L1210" s="4"/>
      <c r="M1210" s="4"/>
      <c r="N1210" s="4"/>
      <c r="O1210" s="6"/>
    </row>
    <row r="1211" spans="2:15" s="46" customFormat="1">
      <c r="B1211" s="3"/>
      <c r="C1211" s="3"/>
      <c r="G1211" s="4"/>
      <c r="H1211" s="4"/>
      <c r="I1211" s="4"/>
      <c r="J1211" s="4"/>
      <c r="K1211" s="4"/>
      <c r="L1211" s="4"/>
      <c r="M1211" s="4"/>
      <c r="N1211" s="4"/>
      <c r="O1211" s="6"/>
    </row>
    <row r="1212" spans="2:15" s="46" customFormat="1">
      <c r="B1212" s="3"/>
      <c r="C1212" s="3"/>
      <c r="G1212" s="4"/>
      <c r="H1212" s="4"/>
      <c r="I1212" s="4"/>
      <c r="J1212" s="4"/>
      <c r="K1212" s="4"/>
      <c r="L1212" s="4"/>
      <c r="M1212" s="4"/>
      <c r="N1212" s="4"/>
      <c r="O1212" s="6"/>
    </row>
    <row r="1213" spans="2:15" s="46" customFormat="1">
      <c r="B1213" s="3"/>
      <c r="C1213" s="3"/>
      <c r="G1213" s="4"/>
      <c r="H1213" s="4"/>
      <c r="I1213" s="4"/>
      <c r="J1213" s="4"/>
      <c r="K1213" s="4"/>
      <c r="L1213" s="4"/>
      <c r="M1213" s="4"/>
      <c r="N1213" s="4"/>
      <c r="O1213" s="6"/>
    </row>
    <row r="1214" spans="2:15" s="46" customFormat="1">
      <c r="B1214" s="3"/>
      <c r="C1214" s="3"/>
      <c r="G1214" s="4"/>
      <c r="H1214" s="4"/>
      <c r="I1214" s="4"/>
      <c r="J1214" s="4"/>
      <c r="K1214" s="4"/>
      <c r="L1214" s="4"/>
      <c r="M1214" s="4"/>
      <c r="N1214" s="4"/>
      <c r="O1214" s="6"/>
    </row>
    <row r="1215" spans="2:15" s="46" customFormat="1">
      <c r="B1215" s="3"/>
      <c r="C1215" s="3"/>
      <c r="G1215" s="4"/>
      <c r="H1215" s="4"/>
      <c r="I1215" s="4"/>
      <c r="J1215" s="4"/>
      <c r="K1215" s="4"/>
      <c r="L1215" s="4"/>
      <c r="M1215" s="4"/>
      <c r="N1215" s="4"/>
      <c r="O1215" s="6"/>
    </row>
    <row r="1216" spans="2:15" s="46" customFormat="1">
      <c r="B1216" s="3"/>
      <c r="C1216" s="3"/>
      <c r="G1216" s="4"/>
      <c r="H1216" s="4"/>
      <c r="I1216" s="4"/>
      <c r="J1216" s="4"/>
      <c r="K1216" s="4"/>
      <c r="L1216" s="4"/>
      <c r="M1216" s="4"/>
      <c r="N1216" s="4"/>
      <c r="O1216" s="6"/>
    </row>
    <row r="1217" spans="2:15" s="46" customFormat="1">
      <c r="B1217" s="3"/>
      <c r="C1217" s="3"/>
      <c r="G1217" s="4"/>
      <c r="H1217" s="4"/>
      <c r="I1217" s="4"/>
      <c r="J1217" s="4"/>
      <c r="K1217" s="4"/>
      <c r="L1217" s="4"/>
      <c r="M1217" s="4"/>
      <c r="N1217" s="4"/>
      <c r="O1217" s="6"/>
    </row>
    <row r="1218" spans="2:15" s="46" customFormat="1">
      <c r="B1218" s="3"/>
      <c r="C1218" s="3"/>
      <c r="G1218" s="4"/>
      <c r="H1218" s="4"/>
      <c r="I1218" s="4"/>
      <c r="J1218" s="4"/>
      <c r="K1218" s="4"/>
      <c r="L1218" s="4"/>
      <c r="M1218" s="4"/>
      <c r="N1218" s="4"/>
      <c r="O1218" s="6"/>
    </row>
    <row r="1219" spans="2:15" s="46" customFormat="1">
      <c r="B1219" s="3"/>
      <c r="C1219" s="3"/>
      <c r="G1219" s="4"/>
      <c r="H1219" s="4"/>
      <c r="I1219" s="4"/>
      <c r="J1219" s="4"/>
      <c r="K1219" s="4"/>
      <c r="L1219" s="4"/>
      <c r="M1219" s="4"/>
      <c r="N1219" s="4"/>
      <c r="O1219" s="6"/>
    </row>
    <row r="1220" spans="2:15" s="46" customFormat="1">
      <c r="B1220" s="3"/>
      <c r="C1220" s="3"/>
      <c r="G1220" s="4"/>
      <c r="H1220" s="4"/>
      <c r="I1220" s="4"/>
      <c r="J1220" s="4"/>
      <c r="K1220" s="4"/>
      <c r="L1220" s="4"/>
      <c r="M1220" s="4"/>
      <c r="N1220" s="4"/>
      <c r="O1220" s="6"/>
    </row>
    <row r="1221" spans="2:15" s="46" customFormat="1">
      <c r="B1221" s="3"/>
      <c r="C1221" s="3"/>
      <c r="G1221" s="4"/>
      <c r="H1221" s="4"/>
      <c r="I1221" s="4"/>
      <c r="J1221" s="4"/>
      <c r="K1221" s="4"/>
      <c r="L1221" s="4"/>
      <c r="M1221" s="4"/>
      <c r="N1221" s="4"/>
      <c r="O1221" s="6"/>
    </row>
    <row r="1222" spans="2:15" s="46" customFormat="1">
      <c r="B1222" s="3"/>
      <c r="C1222" s="3"/>
      <c r="G1222" s="4"/>
      <c r="H1222" s="4"/>
      <c r="I1222" s="4"/>
      <c r="J1222" s="4"/>
      <c r="K1222" s="4"/>
      <c r="L1222" s="4"/>
      <c r="M1222" s="4"/>
      <c r="N1222" s="4"/>
      <c r="O1222" s="6"/>
    </row>
    <row r="1223" spans="2:15" s="46" customFormat="1">
      <c r="B1223" s="3"/>
      <c r="C1223" s="3"/>
      <c r="G1223" s="4"/>
      <c r="H1223" s="4"/>
      <c r="I1223" s="4"/>
      <c r="J1223" s="4"/>
      <c r="K1223" s="4"/>
      <c r="L1223" s="4"/>
      <c r="M1223" s="4"/>
      <c r="N1223" s="4"/>
      <c r="O1223" s="6"/>
    </row>
    <row r="1224" spans="2:15" s="46" customFormat="1">
      <c r="B1224" s="3"/>
      <c r="C1224" s="3"/>
      <c r="G1224" s="4"/>
      <c r="H1224" s="4"/>
      <c r="I1224" s="4"/>
      <c r="J1224" s="4"/>
      <c r="K1224" s="4"/>
      <c r="L1224" s="4"/>
      <c r="M1224" s="4"/>
      <c r="N1224" s="4"/>
      <c r="O1224" s="6"/>
    </row>
    <row r="1225" spans="2:15" s="46" customFormat="1">
      <c r="B1225" s="3"/>
      <c r="C1225" s="3"/>
      <c r="G1225" s="4"/>
      <c r="H1225" s="4"/>
      <c r="I1225" s="4"/>
      <c r="J1225" s="4"/>
      <c r="K1225" s="4"/>
      <c r="L1225" s="4"/>
      <c r="M1225" s="4"/>
      <c r="N1225" s="4"/>
      <c r="O1225" s="6"/>
    </row>
    <row r="1226" spans="2:15" s="46" customFormat="1">
      <c r="B1226" s="3"/>
      <c r="C1226" s="3"/>
      <c r="G1226" s="4"/>
      <c r="H1226" s="4"/>
      <c r="I1226" s="4"/>
      <c r="J1226" s="4"/>
      <c r="K1226" s="4"/>
      <c r="L1226" s="4"/>
      <c r="M1226" s="4"/>
      <c r="N1226" s="4"/>
      <c r="O1226" s="6"/>
    </row>
    <row r="1227" spans="2:15" s="46" customFormat="1">
      <c r="B1227" s="3"/>
      <c r="C1227" s="3"/>
      <c r="G1227" s="4"/>
      <c r="H1227" s="4"/>
      <c r="I1227" s="4"/>
      <c r="J1227" s="4"/>
      <c r="K1227" s="4"/>
      <c r="L1227" s="4"/>
      <c r="M1227" s="4"/>
      <c r="N1227" s="4"/>
      <c r="O1227" s="6"/>
    </row>
    <row r="1228" spans="2:15" s="46" customFormat="1">
      <c r="B1228" s="3"/>
      <c r="C1228" s="3"/>
      <c r="G1228" s="4"/>
      <c r="H1228" s="4"/>
      <c r="I1228" s="4"/>
      <c r="J1228" s="4"/>
      <c r="K1228" s="4"/>
      <c r="L1228" s="4"/>
      <c r="M1228" s="4"/>
      <c r="N1228" s="4"/>
      <c r="O1228" s="6"/>
    </row>
    <row r="1229" spans="2:15" s="46" customFormat="1">
      <c r="B1229" s="3"/>
      <c r="C1229" s="3"/>
      <c r="G1229" s="4"/>
      <c r="H1229" s="4"/>
      <c r="I1229" s="4"/>
      <c r="J1229" s="4"/>
      <c r="K1229" s="4"/>
      <c r="L1229" s="4"/>
      <c r="M1229" s="4"/>
      <c r="N1229" s="4"/>
      <c r="O1229" s="6"/>
    </row>
    <row r="1230" spans="2:15" s="46" customFormat="1">
      <c r="B1230" s="3"/>
      <c r="C1230" s="3"/>
      <c r="G1230" s="4"/>
      <c r="H1230" s="4"/>
      <c r="I1230" s="4"/>
      <c r="J1230" s="4"/>
      <c r="K1230" s="4"/>
      <c r="L1230" s="4"/>
      <c r="M1230" s="4"/>
      <c r="N1230" s="4"/>
      <c r="O1230" s="6"/>
    </row>
    <row r="1231" spans="2:15" s="46" customFormat="1">
      <c r="B1231" s="3"/>
      <c r="C1231" s="3"/>
      <c r="G1231" s="4"/>
      <c r="H1231" s="4"/>
      <c r="I1231" s="4"/>
      <c r="J1231" s="4"/>
      <c r="K1231" s="4"/>
      <c r="L1231" s="4"/>
      <c r="M1231" s="4"/>
      <c r="N1231" s="4"/>
      <c r="O1231" s="6"/>
    </row>
    <row r="1232" spans="2:15" s="46" customFormat="1">
      <c r="B1232" s="3"/>
      <c r="C1232" s="3"/>
      <c r="G1232" s="4"/>
      <c r="H1232" s="4"/>
      <c r="I1232" s="4"/>
      <c r="J1232" s="4"/>
      <c r="K1232" s="4"/>
      <c r="L1232" s="4"/>
      <c r="M1232" s="4"/>
      <c r="N1232" s="4"/>
      <c r="O1232" s="6"/>
    </row>
    <row r="1233" spans="2:15" s="46" customFormat="1">
      <c r="B1233" s="3"/>
      <c r="C1233" s="3"/>
      <c r="G1233" s="4"/>
      <c r="H1233" s="4"/>
      <c r="I1233" s="4"/>
      <c r="J1233" s="4"/>
      <c r="K1233" s="4"/>
      <c r="L1233" s="4"/>
      <c r="M1233" s="4"/>
      <c r="N1233" s="4"/>
      <c r="O1233" s="6"/>
    </row>
    <row r="1234" spans="2:15" s="46" customFormat="1">
      <c r="B1234" s="3"/>
      <c r="C1234" s="3"/>
      <c r="G1234" s="4"/>
      <c r="H1234" s="4"/>
      <c r="I1234" s="4"/>
      <c r="J1234" s="4"/>
      <c r="K1234" s="4"/>
      <c r="L1234" s="4"/>
      <c r="M1234" s="4"/>
      <c r="N1234" s="4"/>
      <c r="O1234" s="6"/>
    </row>
    <row r="1235" spans="2:15" s="46" customFormat="1">
      <c r="B1235" s="3"/>
      <c r="C1235" s="3"/>
      <c r="G1235" s="4"/>
      <c r="H1235" s="4"/>
      <c r="I1235" s="4"/>
      <c r="J1235" s="4"/>
      <c r="K1235" s="4"/>
      <c r="L1235" s="4"/>
      <c r="M1235" s="4"/>
      <c r="N1235" s="4"/>
      <c r="O1235" s="6"/>
    </row>
    <row r="1236" spans="2:15" s="46" customFormat="1">
      <c r="B1236" s="3"/>
      <c r="C1236" s="3"/>
      <c r="G1236" s="4"/>
      <c r="H1236" s="4"/>
      <c r="I1236" s="4"/>
      <c r="J1236" s="4"/>
      <c r="K1236" s="4"/>
      <c r="L1236" s="4"/>
      <c r="M1236" s="4"/>
      <c r="N1236" s="4"/>
      <c r="O1236" s="6"/>
    </row>
    <row r="1237" spans="2:15" s="46" customFormat="1">
      <c r="B1237" s="3"/>
      <c r="C1237" s="3"/>
      <c r="G1237" s="4"/>
      <c r="H1237" s="4"/>
      <c r="I1237" s="4"/>
      <c r="J1237" s="4"/>
      <c r="K1237" s="4"/>
      <c r="L1237" s="4"/>
      <c r="M1237" s="4"/>
      <c r="N1237" s="4"/>
      <c r="O1237" s="6"/>
    </row>
    <row r="1238" spans="2:15" s="46" customFormat="1">
      <c r="B1238" s="3"/>
      <c r="C1238" s="3"/>
      <c r="G1238" s="4"/>
      <c r="H1238" s="4"/>
      <c r="I1238" s="4"/>
      <c r="J1238" s="4"/>
      <c r="K1238" s="4"/>
      <c r="L1238" s="4"/>
      <c r="M1238" s="4"/>
      <c r="N1238" s="4"/>
      <c r="O1238" s="6"/>
    </row>
    <row r="1239" spans="2:15" s="46" customFormat="1">
      <c r="B1239" s="3"/>
      <c r="C1239" s="3"/>
      <c r="G1239" s="4"/>
      <c r="H1239" s="4"/>
      <c r="I1239" s="4"/>
      <c r="J1239" s="4"/>
      <c r="K1239" s="4"/>
      <c r="L1239" s="4"/>
      <c r="M1239" s="4"/>
      <c r="N1239" s="4"/>
      <c r="O1239" s="6"/>
    </row>
    <row r="1240" spans="2:15" s="46" customFormat="1">
      <c r="B1240" s="3"/>
      <c r="C1240" s="3"/>
      <c r="G1240" s="4"/>
      <c r="H1240" s="4"/>
      <c r="I1240" s="4"/>
      <c r="J1240" s="4"/>
      <c r="K1240" s="4"/>
      <c r="L1240" s="4"/>
      <c r="M1240" s="4"/>
      <c r="N1240" s="4"/>
      <c r="O1240" s="6"/>
    </row>
    <row r="1241" spans="2:15" s="46" customFormat="1">
      <c r="B1241" s="3"/>
      <c r="C1241" s="3"/>
      <c r="G1241" s="4"/>
      <c r="H1241" s="4"/>
      <c r="I1241" s="4"/>
      <c r="J1241" s="4"/>
      <c r="K1241" s="4"/>
      <c r="L1241" s="4"/>
      <c r="M1241" s="4"/>
      <c r="N1241" s="4"/>
      <c r="O1241" s="6"/>
    </row>
    <row r="1242" spans="2:15" s="46" customFormat="1">
      <c r="B1242" s="3"/>
      <c r="C1242" s="3"/>
      <c r="G1242" s="4"/>
      <c r="H1242" s="4"/>
      <c r="I1242" s="4"/>
      <c r="J1242" s="4"/>
      <c r="K1242" s="4"/>
      <c r="L1242" s="4"/>
      <c r="M1242" s="4"/>
      <c r="N1242" s="4"/>
      <c r="O1242" s="6"/>
    </row>
    <row r="1243" spans="2:15" s="46" customFormat="1">
      <c r="B1243" s="3"/>
      <c r="C1243" s="3"/>
      <c r="G1243" s="4"/>
      <c r="H1243" s="4"/>
      <c r="I1243" s="4"/>
      <c r="J1243" s="4"/>
      <c r="K1243" s="4"/>
      <c r="L1243" s="4"/>
      <c r="M1243" s="4"/>
      <c r="N1243" s="4"/>
      <c r="O1243" s="6"/>
    </row>
    <row r="1244" spans="2:15" s="46" customFormat="1">
      <c r="B1244" s="3"/>
      <c r="C1244" s="3"/>
      <c r="G1244" s="4"/>
      <c r="H1244" s="4"/>
      <c r="I1244" s="4"/>
      <c r="J1244" s="4"/>
      <c r="K1244" s="4"/>
      <c r="L1244" s="4"/>
      <c r="M1244" s="4"/>
      <c r="N1244" s="4"/>
      <c r="O1244" s="6"/>
    </row>
    <row r="1245" spans="2:15" s="46" customFormat="1">
      <c r="B1245" s="3"/>
      <c r="C1245" s="3"/>
      <c r="G1245" s="4"/>
      <c r="H1245" s="4"/>
      <c r="I1245" s="4"/>
      <c r="J1245" s="4"/>
      <c r="K1245" s="4"/>
      <c r="L1245" s="4"/>
      <c r="M1245" s="4"/>
      <c r="N1245" s="4"/>
      <c r="O1245" s="6"/>
    </row>
    <row r="1246" spans="2:15" s="46" customFormat="1">
      <c r="B1246" s="3"/>
      <c r="C1246" s="3"/>
      <c r="G1246" s="4"/>
      <c r="H1246" s="4"/>
      <c r="I1246" s="4"/>
      <c r="J1246" s="4"/>
      <c r="K1246" s="4"/>
      <c r="L1246" s="4"/>
      <c r="M1246" s="4"/>
      <c r="N1246" s="4"/>
      <c r="O1246" s="6"/>
    </row>
    <row r="1247" spans="2:15" s="46" customFormat="1">
      <c r="B1247" s="3"/>
      <c r="C1247" s="3"/>
      <c r="G1247" s="4"/>
      <c r="H1247" s="4"/>
      <c r="I1247" s="4"/>
      <c r="J1247" s="4"/>
      <c r="K1247" s="4"/>
      <c r="L1247" s="4"/>
      <c r="M1247" s="4"/>
      <c r="N1247" s="4"/>
      <c r="O1247" s="6"/>
    </row>
    <row r="1248" spans="2:15" s="46" customFormat="1">
      <c r="B1248" s="3"/>
      <c r="C1248" s="3"/>
      <c r="G1248" s="4"/>
      <c r="H1248" s="4"/>
      <c r="I1248" s="4"/>
      <c r="J1248" s="4"/>
      <c r="K1248" s="4"/>
      <c r="L1248" s="4"/>
      <c r="M1248" s="4"/>
      <c r="N1248" s="4"/>
      <c r="O1248" s="6"/>
    </row>
    <row r="1249" spans="2:15" s="46" customFormat="1">
      <c r="B1249" s="3"/>
      <c r="C1249" s="3"/>
      <c r="G1249" s="4"/>
      <c r="H1249" s="4"/>
      <c r="I1249" s="4"/>
      <c r="J1249" s="4"/>
      <c r="K1249" s="4"/>
      <c r="L1249" s="4"/>
      <c r="M1249" s="4"/>
      <c r="N1249" s="4"/>
      <c r="O1249" s="6"/>
    </row>
    <row r="1250" spans="2:15" s="46" customFormat="1">
      <c r="B1250" s="3"/>
      <c r="C1250" s="3"/>
      <c r="G1250" s="4"/>
      <c r="H1250" s="4"/>
      <c r="I1250" s="4"/>
      <c r="J1250" s="4"/>
      <c r="K1250" s="4"/>
      <c r="L1250" s="4"/>
      <c r="M1250" s="4"/>
      <c r="N1250" s="4"/>
      <c r="O1250" s="6"/>
    </row>
    <row r="1251" spans="2:15" s="46" customFormat="1">
      <c r="B1251" s="3"/>
      <c r="C1251" s="3"/>
      <c r="G1251" s="4"/>
      <c r="H1251" s="4"/>
      <c r="I1251" s="4"/>
      <c r="J1251" s="4"/>
      <c r="K1251" s="4"/>
      <c r="L1251" s="4"/>
      <c r="M1251" s="4"/>
      <c r="N1251" s="4"/>
      <c r="O1251" s="6"/>
    </row>
    <row r="1252" spans="2:15" s="46" customFormat="1">
      <c r="B1252" s="3"/>
      <c r="C1252" s="3"/>
      <c r="G1252" s="4"/>
      <c r="H1252" s="4"/>
      <c r="I1252" s="4"/>
      <c r="J1252" s="4"/>
      <c r="K1252" s="4"/>
      <c r="L1252" s="4"/>
      <c r="M1252" s="4"/>
      <c r="N1252" s="4"/>
      <c r="O1252" s="6"/>
    </row>
    <row r="1253" spans="2:15" s="46" customFormat="1">
      <c r="B1253" s="3"/>
      <c r="C1253" s="3"/>
      <c r="G1253" s="4"/>
      <c r="H1253" s="4"/>
      <c r="I1253" s="4"/>
      <c r="J1253" s="4"/>
      <c r="K1253" s="4"/>
      <c r="L1253" s="4"/>
      <c r="M1253" s="4"/>
      <c r="N1253" s="4"/>
      <c r="O1253" s="6"/>
    </row>
    <row r="1254" spans="2:15" s="46" customFormat="1">
      <c r="B1254" s="3"/>
      <c r="C1254" s="3"/>
      <c r="G1254" s="4"/>
      <c r="H1254" s="4"/>
      <c r="I1254" s="4"/>
      <c r="J1254" s="4"/>
      <c r="K1254" s="4"/>
      <c r="L1254" s="4"/>
      <c r="M1254" s="4"/>
      <c r="N1254" s="4"/>
      <c r="O1254" s="6"/>
    </row>
    <row r="1255" spans="2:15" s="46" customFormat="1">
      <c r="B1255" s="3"/>
      <c r="C1255" s="3"/>
      <c r="G1255" s="4"/>
      <c r="H1255" s="4"/>
      <c r="I1255" s="4"/>
      <c r="J1255" s="4"/>
      <c r="K1255" s="4"/>
      <c r="L1255" s="4"/>
      <c r="M1255" s="4"/>
      <c r="N1255" s="4"/>
      <c r="O1255" s="6"/>
    </row>
    <row r="1256" spans="2:15" s="46" customFormat="1">
      <c r="B1256" s="3"/>
      <c r="C1256" s="3"/>
      <c r="G1256" s="4"/>
      <c r="H1256" s="4"/>
      <c r="I1256" s="4"/>
      <c r="J1256" s="4"/>
      <c r="K1256" s="4"/>
      <c r="L1256" s="4"/>
      <c r="M1256" s="4"/>
      <c r="N1256" s="4"/>
      <c r="O1256" s="6"/>
    </row>
    <row r="1257" spans="2:15" s="46" customFormat="1">
      <c r="B1257" s="3"/>
      <c r="C1257" s="3"/>
      <c r="G1257" s="4"/>
      <c r="H1257" s="4"/>
      <c r="I1257" s="4"/>
      <c r="J1257" s="4"/>
      <c r="K1257" s="4"/>
      <c r="L1257" s="4"/>
      <c r="M1257" s="4"/>
      <c r="N1257" s="4"/>
      <c r="O1257" s="6"/>
    </row>
    <row r="1258" spans="2:15" s="46" customFormat="1">
      <c r="B1258" s="3"/>
      <c r="C1258" s="3"/>
      <c r="G1258" s="4"/>
      <c r="H1258" s="4"/>
      <c r="I1258" s="4"/>
      <c r="J1258" s="4"/>
      <c r="K1258" s="4"/>
      <c r="L1258" s="4"/>
      <c r="M1258" s="4"/>
      <c r="N1258" s="4"/>
      <c r="O1258" s="6"/>
    </row>
    <row r="1259" spans="2:15" s="46" customFormat="1">
      <c r="B1259" s="3"/>
      <c r="C1259" s="3"/>
      <c r="G1259" s="4"/>
      <c r="H1259" s="4"/>
      <c r="I1259" s="4"/>
      <c r="J1259" s="4"/>
      <c r="K1259" s="4"/>
      <c r="L1259" s="4"/>
      <c r="M1259" s="4"/>
      <c r="N1259" s="4"/>
      <c r="O1259" s="6"/>
    </row>
    <row r="1260" spans="2:15" s="46" customFormat="1">
      <c r="B1260" s="3"/>
      <c r="C1260" s="3"/>
      <c r="G1260" s="4"/>
      <c r="H1260" s="4"/>
      <c r="I1260" s="4"/>
      <c r="J1260" s="4"/>
      <c r="K1260" s="4"/>
      <c r="L1260" s="4"/>
      <c r="M1260" s="4"/>
      <c r="N1260" s="4"/>
      <c r="O1260" s="6"/>
    </row>
    <row r="1261" spans="2:15" s="46" customFormat="1">
      <c r="B1261" s="3"/>
      <c r="C1261" s="3"/>
      <c r="G1261" s="4"/>
      <c r="H1261" s="4"/>
      <c r="I1261" s="4"/>
      <c r="J1261" s="4"/>
      <c r="K1261" s="4"/>
      <c r="L1261" s="4"/>
      <c r="M1261" s="4"/>
      <c r="N1261" s="4"/>
      <c r="O1261" s="6"/>
    </row>
    <row r="1262" spans="2:15" s="46" customFormat="1">
      <c r="B1262" s="3"/>
      <c r="C1262" s="3"/>
      <c r="G1262" s="4"/>
      <c r="H1262" s="4"/>
      <c r="I1262" s="4"/>
      <c r="J1262" s="4"/>
      <c r="K1262" s="4"/>
      <c r="L1262" s="4"/>
      <c r="M1262" s="4"/>
      <c r="N1262" s="4"/>
      <c r="O1262" s="6"/>
    </row>
    <row r="1263" spans="2:15" s="46" customFormat="1">
      <c r="B1263" s="3"/>
      <c r="C1263" s="3"/>
      <c r="G1263" s="4"/>
      <c r="H1263" s="4"/>
      <c r="I1263" s="4"/>
      <c r="J1263" s="4"/>
      <c r="K1263" s="4"/>
      <c r="L1263" s="4"/>
      <c r="M1263" s="4"/>
      <c r="N1263" s="4"/>
      <c r="O1263" s="6"/>
    </row>
    <row r="1264" spans="2:15" s="46" customFormat="1">
      <c r="B1264" s="3"/>
      <c r="C1264" s="3"/>
      <c r="G1264" s="4"/>
      <c r="H1264" s="4"/>
      <c r="I1264" s="4"/>
      <c r="J1264" s="4"/>
      <c r="K1264" s="4"/>
      <c r="L1264" s="4"/>
      <c r="M1264" s="4"/>
      <c r="N1264" s="4"/>
      <c r="O1264" s="6"/>
    </row>
    <row r="1265" spans="2:15" s="46" customFormat="1">
      <c r="B1265" s="3"/>
      <c r="C1265" s="3"/>
      <c r="G1265" s="4"/>
      <c r="H1265" s="4"/>
      <c r="I1265" s="4"/>
      <c r="J1265" s="4"/>
      <c r="K1265" s="4"/>
      <c r="L1265" s="4"/>
      <c r="M1265" s="4"/>
      <c r="N1265" s="4"/>
      <c r="O1265" s="6"/>
    </row>
    <row r="1266" spans="2:15" s="46" customFormat="1">
      <c r="B1266" s="3"/>
      <c r="C1266" s="3"/>
      <c r="G1266" s="4"/>
      <c r="H1266" s="4"/>
      <c r="I1266" s="4"/>
      <c r="J1266" s="4"/>
      <c r="K1266" s="4"/>
      <c r="L1266" s="4"/>
      <c r="M1266" s="4"/>
      <c r="N1266" s="4"/>
      <c r="O1266" s="6"/>
    </row>
    <row r="1267" spans="2:15" s="46" customFormat="1">
      <c r="B1267" s="3"/>
      <c r="C1267" s="3"/>
      <c r="G1267" s="4"/>
      <c r="H1267" s="4"/>
      <c r="I1267" s="4"/>
      <c r="J1267" s="4"/>
      <c r="K1267" s="4"/>
      <c r="L1267" s="4"/>
      <c r="M1267" s="4"/>
      <c r="N1267" s="4"/>
      <c r="O1267" s="6"/>
    </row>
    <row r="1268" spans="2:15" s="46" customFormat="1">
      <c r="B1268" s="3"/>
      <c r="C1268" s="3"/>
      <c r="G1268" s="4"/>
      <c r="H1268" s="4"/>
      <c r="I1268" s="4"/>
      <c r="J1268" s="4"/>
      <c r="K1268" s="4"/>
      <c r="L1268" s="4"/>
      <c r="M1268" s="4"/>
      <c r="N1268" s="4"/>
      <c r="O1268" s="6"/>
    </row>
    <row r="1269" spans="2:15" s="46" customFormat="1">
      <c r="B1269" s="3"/>
      <c r="C1269" s="3"/>
      <c r="G1269" s="4"/>
      <c r="H1269" s="4"/>
      <c r="I1269" s="4"/>
      <c r="J1269" s="4"/>
      <c r="K1269" s="4"/>
      <c r="L1269" s="4"/>
      <c r="M1269" s="4"/>
      <c r="N1269" s="4"/>
      <c r="O1269" s="6"/>
    </row>
    <row r="1270" spans="2:15" s="46" customFormat="1">
      <c r="B1270" s="3"/>
      <c r="C1270" s="3"/>
      <c r="G1270" s="4"/>
      <c r="H1270" s="4"/>
      <c r="I1270" s="4"/>
      <c r="J1270" s="4"/>
      <c r="K1270" s="4"/>
      <c r="L1270" s="4"/>
      <c r="M1270" s="4"/>
      <c r="N1270" s="4"/>
      <c r="O1270" s="6"/>
    </row>
    <row r="1271" spans="2:15" s="46" customFormat="1">
      <c r="B1271" s="3"/>
      <c r="C1271" s="3"/>
      <c r="G1271" s="4"/>
      <c r="H1271" s="4"/>
      <c r="I1271" s="4"/>
      <c r="J1271" s="4"/>
      <c r="K1271" s="4"/>
      <c r="L1271" s="4"/>
      <c r="M1271" s="4"/>
      <c r="N1271" s="4"/>
      <c r="O1271" s="6"/>
    </row>
    <row r="1272" spans="2:15" s="46" customFormat="1">
      <c r="B1272" s="3"/>
      <c r="C1272" s="3"/>
      <c r="G1272" s="4"/>
      <c r="H1272" s="4"/>
      <c r="I1272" s="4"/>
      <c r="J1272" s="4"/>
      <c r="K1272" s="4"/>
      <c r="L1272" s="4"/>
      <c r="M1272" s="4"/>
      <c r="N1272" s="4"/>
      <c r="O1272" s="6"/>
    </row>
    <row r="1273" spans="2:15" s="46" customFormat="1">
      <c r="B1273" s="3"/>
      <c r="C1273" s="3"/>
      <c r="G1273" s="4"/>
      <c r="H1273" s="4"/>
      <c r="I1273" s="4"/>
      <c r="J1273" s="4"/>
      <c r="K1273" s="4"/>
      <c r="L1273" s="4"/>
      <c r="M1273" s="4"/>
      <c r="N1273" s="4"/>
      <c r="O1273" s="6"/>
    </row>
    <row r="1274" spans="2:15" s="46" customFormat="1">
      <c r="B1274" s="3"/>
      <c r="C1274" s="3"/>
      <c r="G1274" s="4"/>
      <c r="H1274" s="4"/>
      <c r="I1274" s="4"/>
      <c r="J1274" s="4"/>
      <c r="K1274" s="4"/>
      <c r="L1274" s="4"/>
      <c r="M1274" s="4"/>
      <c r="N1274" s="4"/>
      <c r="O1274" s="6"/>
    </row>
    <row r="1275" spans="2:15" s="46" customFormat="1">
      <c r="B1275" s="3"/>
      <c r="C1275" s="3"/>
      <c r="G1275" s="4"/>
      <c r="H1275" s="4"/>
      <c r="I1275" s="4"/>
      <c r="J1275" s="4"/>
      <c r="K1275" s="4"/>
      <c r="L1275" s="4"/>
      <c r="M1275" s="4"/>
      <c r="N1275" s="4"/>
      <c r="O1275" s="6"/>
    </row>
    <row r="1276" spans="2:15" s="46" customFormat="1">
      <c r="B1276" s="3"/>
      <c r="C1276" s="3"/>
      <c r="G1276" s="4"/>
      <c r="H1276" s="4"/>
      <c r="I1276" s="4"/>
      <c r="J1276" s="4"/>
      <c r="K1276" s="4"/>
      <c r="L1276" s="4"/>
      <c r="M1276" s="4"/>
      <c r="N1276" s="4"/>
      <c r="O1276" s="6"/>
    </row>
    <row r="1277" spans="2:15" s="46" customFormat="1">
      <c r="B1277" s="3"/>
      <c r="C1277" s="3"/>
      <c r="G1277" s="4"/>
      <c r="H1277" s="4"/>
      <c r="I1277" s="4"/>
      <c r="J1277" s="4"/>
      <c r="K1277" s="4"/>
      <c r="L1277" s="4"/>
      <c r="M1277" s="4"/>
      <c r="N1277" s="4"/>
      <c r="O1277" s="6"/>
    </row>
    <row r="1278" spans="2:15" s="46" customFormat="1">
      <c r="B1278" s="3"/>
      <c r="C1278" s="3"/>
      <c r="G1278" s="4"/>
      <c r="H1278" s="4"/>
      <c r="I1278" s="4"/>
      <c r="J1278" s="4"/>
      <c r="K1278" s="4"/>
      <c r="L1278" s="4"/>
      <c r="M1278" s="4"/>
      <c r="N1278" s="4"/>
      <c r="O1278" s="6"/>
    </row>
    <row r="1279" spans="2:15" s="46" customFormat="1">
      <c r="B1279" s="3"/>
      <c r="C1279" s="3"/>
      <c r="G1279" s="4"/>
      <c r="H1279" s="4"/>
      <c r="I1279" s="4"/>
      <c r="J1279" s="4"/>
      <c r="K1279" s="4"/>
      <c r="L1279" s="4"/>
      <c r="M1279" s="4"/>
      <c r="N1279" s="4"/>
      <c r="O1279" s="6"/>
    </row>
    <row r="1280" spans="2:15" s="46" customFormat="1">
      <c r="B1280" s="3"/>
      <c r="C1280" s="3"/>
      <c r="G1280" s="4"/>
      <c r="H1280" s="4"/>
      <c r="I1280" s="4"/>
      <c r="J1280" s="4"/>
      <c r="K1280" s="4"/>
      <c r="L1280" s="4"/>
      <c r="M1280" s="4"/>
      <c r="N1280" s="4"/>
      <c r="O1280" s="6"/>
    </row>
    <row r="1281" spans="2:15" s="46" customFormat="1">
      <c r="B1281" s="3"/>
      <c r="C1281" s="3"/>
      <c r="G1281" s="4"/>
      <c r="H1281" s="4"/>
      <c r="I1281" s="4"/>
      <c r="J1281" s="4"/>
      <c r="K1281" s="4"/>
      <c r="L1281" s="4"/>
      <c r="M1281" s="4"/>
      <c r="N1281" s="4"/>
      <c r="O1281" s="6"/>
    </row>
    <row r="1282" spans="2:15" s="46" customFormat="1">
      <c r="B1282" s="3"/>
      <c r="C1282" s="3"/>
      <c r="G1282" s="4"/>
      <c r="H1282" s="4"/>
      <c r="I1282" s="4"/>
      <c r="J1282" s="4"/>
      <c r="K1282" s="4"/>
      <c r="L1282" s="4"/>
      <c r="M1282" s="4"/>
      <c r="N1282" s="4"/>
      <c r="O1282" s="6"/>
    </row>
    <row r="1283" spans="2:15" s="46" customFormat="1">
      <c r="B1283" s="3"/>
      <c r="C1283" s="3"/>
      <c r="G1283" s="4"/>
      <c r="H1283" s="4"/>
      <c r="I1283" s="4"/>
      <c r="J1283" s="4"/>
      <c r="K1283" s="4"/>
      <c r="L1283" s="4"/>
      <c r="M1283" s="4"/>
      <c r="N1283" s="4"/>
      <c r="O1283" s="6"/>
    </row>
    <row r="1284" spans="2:15" s="46" customFormat="1">
      <c r="B1284" s="3"/>
      <c r="C1284" s="3"/>
      <c r="G1284" s="4"/>
      <c r="H1284" s="4"/>
      <c r="I1284" s="4"/>
      <c r="J1284" s="4"/>
      <c r="K1284" s="4"/>
      <c r="L1284" s="4"/>
      <c r="M1284" s="4"/>
      <c r="N1284" s="4"/>
      <c r="O1284" s="6"/>
    </row>
    <row r="1285" spans="2:15" s="46" customFormat="1">
      <c r="B1285" s="3"/>
      <c r="C1285" s="3"/>
      <c r="G1285" s="4"/>
      <c r="H1285" s="4"/>
      <c r="I1285" s="4"/>
      <c r="J1285" s="4"/>
      <c r="K1285" s="4"/>
      <c r="L1285" s="4"/>
      <c r="M1285" s="4"/>
      <c r="N1285" s="4"/>
      <c r="O1285" s="6"/>
    </row>
    <row r="1286" spans="2:15" s="46" customFormat="1">
      <c r="B1286" s="3"/>
      <c r="C1286" s="3"/>
      <c r="G1286" s="4"/>
      <c r="H1286" s="4"/>
      <c r="I1286" s="4"/>
      <c r="J1286" s="4"/>
      <c r="K1286" s="4"/>
      <c r="L1286" s="4"/>
      <c r="M1286" s="4"/>
      <c r="N1286" s="4"/>
      <c r="O1286" s="6"/>
    </row>
    <row r="1287" spans="2:15" s="46" customFormat="1">
      <c r="B1287" s="3"/>
      <c r="C1287" s="3"/>
      <c r="G1287" s="4"/>
      <c r="H1287" s="4"/>
      <c r="I1287" s="4"/>
      <c r="J1287" s="4"/>
      <c r="K1287" s="4"/>
      <c r="L1287" s="4"/>
      <c r="M1287" s="4"/>
      <c r="N1287" s="4"/>
      <c r="O1287" s="6"/>
    </row>
    <row r="1288" spans="2:15" s="46" customFormat="1">
      <c r="B1288" s="3"/>
      <c r="C1288" s="3"/>
      <c r="G1288" s="4"/>
      <c r="H1288" s="4"/>
      <c r="I1288" s="4"/>
      <c r="J1288" s="4"/>
      <c r="K1288" s="4"/>
      <c r="L1288" s="4"/>
      <c r="M1288" s="4"/>
      <c r="N1288" s="4"/>
      <c r="O1288" s="6"/>
    </row>
    <row r="1289" spans="2:15" s="46" customFormat="1">
      <c r="B1289" s="3"/>
      <c r="C1289" s="3"/>
      <c r="G1289" s="4"/>
      <c r="H1289" s="4"/>
      <c r="I1289" s="4"/>
      <c r="J1289" s="4"/>
      <c r="K1289" s="4"/>
      <c r="L1289" s="4"/>
      <c r="M1289" s="4"/>
      <c r="N1289" s="4"/>
      <c r="O1289" s="6"/>
    </row>
    <row r="1290" spans="2:15" s="46" customFormat="1">
      <c r="B1290" s="3"/>
      <c r="C1290" s="3"/>
      <c r="G1290" s="4"/>
      <c r="H1290" s="4"/>
      <c r="I1290" s="4"/>
      <c r="J1290" s="4"/>
      <c r="K1290" s="4"/>
      <c r="L1290" s="4"/>
      <c r="M1290" s="4"/>
      <c r="N1290" s="4"/>
      <c r="O1290" s="6"/>
    </row>
    <row r="1291" spans="2:15" s="46" customFormat="1">
      <c r="B1291" s="3"/>
      <c r="C1291" s="3"/>
      <c r="G1291" s="4"/>
      <c r="H1291" s="4"/>
      <c r="I1291" s="4"/>
      <c r="J1291" s="4"/>
      <c r="K1291" s="4"/>
      <c r="L1291" s="4"/>
      <c r="M1291" s="4"/>
      <c r="N1291" s="4"/>
      <c r="O1291" s="6"/>
    </row>
    <row r="1292" spans="2:15" s="46" customFormat="1">
      <c r="B1292" s="3"/>
      <c r="C1292" s="3"/>
      <c r="G1292" s="4"/>
      <c r="H1292" s="4"/>
      <c r="I1292" s="4"/>
      <c r="J1292" s="4"/>
      <c r="K1292" s="4"/>
      <c r="L1292" s="4"/>
      <c r="M1292" s="4"/>
      <c r="N1292" s="4"/>
      <c r="O1292" s="6"/>
    </row>
    <row r="1293" spans="2:15" s="46" customFormat="1">
      <c r="B1293" s="3"/>
      <c r="C1293" s="3"/>
      <c r="G1293" s="4"/>
      <c r="H1293" s="4"/>
      <c r="I1293" s="4"/>
      <c r="J1293" s="4"/>
      <c r="K1293" s="4"/>
      <c r="L1293" s="4"/>
      <c r="M1293" s="4"/>
      <c r="N1293" s="4"/>
      <c r="O1293" s="6"/>
    </row>
    <row r="1294" spans="2:15" s="46" customFormat="1">
      <c r="B1294" s="3"/>
      <c r="C1294" s="3"/>
      <c r="G1294" s="4"/>
      <c r="H1294" s="4"/>
      <c r="I1294" s="4"/>
      <c r="J1294" s="4"/>
      <c r="K1294" s="4"/>
      <c r="L1294" s="4"/>
      <c r="M1294" s="4"/>
      <c r="N1294" s="4"/>
      <c r="O1294" s="6"/>
    </row>
    <row r="1295" spans="2:15" s="46" customFormat="1">
      <c r="B1295" s="3"/>
      <c r="C1295" s="3"/>
      <c r="G1295" s="4"/>
      <c r="H1295" s="4"/>
      <c r="I1295" s="4"/>
      <c r="J1295" s="4"/>
      <c r="K1295" s="4"/>
      <c r="L1295" s="4"/>
      <c r="M1295" s="4"/>
      <c r="N1295" s="4"/>
      <c r="O1295" s="6"/>
    </row>
    <row r="1296" spans="2:15" s="46" customFormat="1">
      <c r="B1296" s="3"/>
      <c r="C1296" s="3"/>
      <c r="G1296" s="4"/>
      <c r="H1296" s="4"/>
      <c r="I1296" s="4"/>
      <c r="J1296" s="4"/>
      <c r="K1296" s="4"/>
      <c r="L1296" s="4"/>
      <c r="M1296" s="4"/>
      <c r="N1296" s="4"/>
      <c r="O1296" s="6"/>
    </row>
    <row r="1297" spans="2:15" s="46" customFormat="1">
      <c r="B1297" s="3"/>
      <c r="C1297" s="3"/>
      <c r="G1297" s="4"/>
      <c r="H1297" s="4"/>
      <c r="I1297" s="4"/>
      <c r="J1297" s="4"/>
      <c r="K1297" s="4"/>
      <c r="L1297" s="4"/>
      <c r="M1297" s="4"/>
      <c r="N1297" s="4"/>
      <c r="O1297" s="6"/>
    </row>
    <row r="1298" spans="2:15" s="46" customFormat="1">
      <c r="B1298" s="3"/>
      <c r="C1298" s="3"/>
      <c r="G1298" s="4"/>
      <c r="H1298" s="4"/>
      <c r="I1298" s="4"/>
      <c r="J1298" s="4"/>
      <c r="K1298" s="4"/>
      <c r="L1298" s="4"/>
      <c r="M1298" s="4"/>
      <c r="N1298" s="4"/>
      <c r="O1298" s="6"/>
    </row>
    <row r="1299" spans="2:15" s="46" customFormat="1">
      <c r="B1299" s="3"/>
      <c r="C1299" s="3"/>
      <c r="G1299" s="4"/>
      <c r="H1299" s="4"/>
      <c r="I1299" s="4"/>
      <c r="J1299" s="4"/>
      <c r="K1299" s="4"/>
      <c r="L1299" s="4"/>
      <c r="M1299" s="4"/>
      <c r="N1299" s="4"/>
      <c r="O1299" s="6"/>
    </row>
    <row r="1300" spans="2:15" s="46" customFormat="1">
      <c r="B1300" s="3"/>
      <c r="C1300" s="3"/>
      <c r="G1300" s="4"/>
      <c r="H1300" s="4"/>
      <c r="I1300" s="4"/>
      <c r="J1300" s="4"/>
      <c r="K1300" s="4"/>
      <c r="L1300" s="4"/>
      <c r="M1300" s="4"/>
      <c r="N1300" s="4"/>
      <c r="O1300" s="6"/>
    </row>
    <row r="1301" spans="2:15" s="46" customFormat="1">
      <c r="B1301" s="3"/>
      <c r="C1301" s="3"/>
      <c r="G1301" s="4"/>
      <c r="H1301" s="4"/>
      <c r="I1301" s="4"/>
      <c r="J1301" s="4"/>
      <c r="K1301" s="4"/>
      <c r="L1301" s="4"/>
      <c r="M1301" s="4"/>
      <c r="N1301" s="4"/>
      <c r="O1301" s="6"/>
    </row>
    <row r="1302" spans="2:15" s="46" customFormat="1">
      <c r="B1302" s="3"/>
      <c r="C1302" s="3"/>
      <c r="G1302" s="4"/>
      <c r="H1302" s="4"/>
      <c r="I1302" s="4"/>
      <c r="J1302" s="4"/>
      <c r="K1302" s="4"/>
      <c r="L1302" s="4"/>
      <c r="M1302" s="4"/>
      <c r="N1302" s="4"/>
      <c r="O1302" s="6"/>
    </row>
    <row r="1303" spans="2:15" s="46" customFormat="1">
      <c r="B1303" s="3"/>
      <c r="C1303" s="3"/>
      <c r="G1303" s="4"/>
      <c r="H1303" s="4"/>
      <c r="I1303" s="4"/>
      <c r="J1303" s="4"/>
      <c r="K1303" s="4"/>
      <c r="L1303" s="4"/>
      <c r="M1303" s="4"/>
      <c r="N1303" s="4"/>
      <c r="O1303" s="6"/>
    </row>
    <row r="1304" spans="2:15" s="46" customFormat="1">
      <c r="B1304" s="3"/>
      <c r="C1304" s="3"/>
      <c r="G1304" s="4"/>
      <c r="H1304" s="4"/>
      <c r="I1304" s="4"/>
      <c r="J1304" s="4"/>
      <c r="K1304" s="4"/>
      <c r="L1304" s="4"/>
      <c r="M1304" s="4"/>
      <c r="N1304" s="4"/>
      <c r="O1304" s="6"/>
    </row>
    <row r="1305" spans="2:15" s="46" customFormat="1">
      <c r="B1305" s="3"/>
      <c r="C1305" s="3"/>
      <c r="G1305" s="4"/>
      <c r="H1305" s="4"/>
      <c r="I1305" s="4"/>
      <c r="J1305" s="4"/>
      <c r="K1305" s="4"/>
      <c r="L1305" s="4"/>
      <c r="M1305" s="4"/>
      <c r="N1305" s="4"/>
      <c r="O1305" s="6"/>
    </row>
    <row r="1306" spans="2:15" s="46" customFormat="1">
      <c r="B1306" s="3"/>
      <c r="C1306" s="3"/>
      <c r="G1306" s="4"/>
      <c r="H1306" s="4"/>
      <c r="I1306" s="4"/>
      <c r="J1306" s="4"/>
      <c r="K1306" s="4"/>
      <c r="L1306" s="4"/>
      <c r="M1306" s="4"/>
      <c r="N1306" s="4"/>
      <c r="O1306" s="6"/>
    </row>
    <row r="1307" spans="2:15" s="46" customFormat="1">
      <c r="B1307" s="3"/>
      <c r="C1307" s="3"/>
      <c r="G1307" s="4"/>
      <c r="H1307" s="4"/>
      <c r="I1307" s="4"/>
      <c r="J1307" s="4"/>
      <c r="K1307" s="4"/>
      <c r="L1307" s="4"/>
      <c r="M1307" s="4"/>
      <c r="N1307" s="4"/>
      <c r="O1307" s="6"/>
    </row>
    <row r="1308" spans="2:15" s="46" customFormat="1">
      <c r="B1308" s="3"/>
      <c r="C1308" s="3"/>
      <c r="G1308" s="4"/>
      <c r="H1308" s="4"/>
      <c r="I1308" s="4"/>
      <c r="J1308" s="4"/>
      <c r="K1308" s="4"/>
      <c r="L1308" s="4"/>
      <c r="M1308" s="4"/>
      <c r="N1308" s="4"/>
      <c r="O1308" s="6"/>
    </row>
    <row r="1309" spans="2:15" s="46" customFormat="1">
      <c r="B1309" s="3"/>
      <c r="C1309" s="3"/>
      <c r="G1309" s="4"/>
      <c r="H1309" s="4"/>
      <c r="I1309" s="4"/>
      <c r="J1309" s="4"/>
      <c r="K1309" s="4"/>
      <c r="L1309" s="4"/>
      <c r="M1309" s="4"/>
      <c r="N1309" s="4"/>
      <c r="O1309" s="6"/>
    </row>
    <row r="1310" spans="2:15" s="46" customFormat="1">
      <c r="B1310" s="3"/>
      <c r="C1310" s="3"/>
      <c r="G1310" s="4"/>
      <c r="H1310" s="4"/>
      <c r="I1310" s="4"/>
      <c r="J1310" s="4"/>
      <c r="K1310" s="4"/>
      <c r="L1310" s="4"/>
      <c r="M1310" s="4"/>
      <c r="N1310" s="4"/>
      <c r="O1310" s="6"/>
    </row>
    <row r="1311" spans="2:15" s="46" customFormat="1">
      <c r="B1311" s="3"/>
      <c r="C1311" s="3"/>
      <c r="G1311" s="4"/>
      <c r="H1311" s="4"/>
      <c r="I1311" s="4"/>
      <c r="J1311" s="4"/>
      <c r="K1311" s="4"/>
      <c r="L1311" s="4"/>
      <c r="M1311" s="4"/>
      <c r="N1311" s="4"/>
      <c r="O1311" s="6"/>
    </row>
    <row r="1312" spans="2:15" s="46" customFormat="1">
      <c r="B1312" s="3"/>
      <c r="C1312" s="3"/>
      <c r="G1312" s="4"/>
      <c r="H1312" s="4"/>
      <c r="I1312" s="4"/>
      <c r="J1312" s="4"/>
      <c r="K1312" s="4"/>
      <c r="L1312" s="4"/>
      <c r="M1312" s="4"/>
      <c r="N1312" s="4"/>
      <c r="O1312" s="6"/>
    </row>
    <row r="1313" spans="2:15" s="46" customFormat="1">
      <c r="B1313" s="3"/>
      <c r="C1313" s="3"/>
      <c r="G1313" s="4"/>
      <c r="H1313" s="4"/>
      <c r="I1313" s="4"/>
      <c r="J1313" s="4"/>
      <c r="K1313" s="4"/>
      <c r="L1313" s="4"/>
      <c r="M1313" s="4"/>
      <c r="N1313" s="4"/>
      <c r="O1313" s="6"/>
    </row>
    <row r="1314" spans="2:15" s="46" customFormat="1">
      <c r="B1314" s="3"/>
      <c r="C1314" s="3"/>
      <c r="G1314" s="4"/>
      <c r="H1314" s="4"/>
      <c r="I1314" s="4"/>
      <c r="J1314" s="4"/>
      <c r="K1314" s="4"/>
      <c r="L1314" s="4"/>
      <c r="M1314" s="4"/>
      <c r="N1314" s="4"/>
      <c r="O1314" s="6"/>
    </row>
    <row r="1315" spans="2:15" s="46" customFormat="1">
      <c r="B1315" s="3"/>
      <c r="C1315" s="3"/>
      <c r="G1315" s="4"/>
      <c r="H1315" s="4"/>
      <c r="I1315" s="4"/>
      <c r="J1315" s="4"/>
      <c r="K1315" s="4"/>
      <c r="L1315" s="4"/>
      <c r="M1315" s="4"/>
      <c r="N1315" s="4"/>
      <c r="O1315" s="6"/>
    </row>
    <row r="1316" spans="2:15" s="46" customFormat="1">
      <c r="B1316" s="3"/>
      <c r="C1316" s="3"/>
      <c r="G1316" s="4"/>
      <c r="H1316" s="4"/>
      <c r="I1316" s="4"/>
      <c r="J1316" s="4"/>
      <c r="K1316" s="4"/>
      <c r="L1316" s="4"/>
      <c r="M1316" s="4"/>
      <c r="N1316" s="4"/>
      <c r="O1316" s="6"/>
    </row>
    <row r="1317" spans="2:15" s="46" customFormat="1">
      <c r="B1317" s="3"/>
      <c r="C1317" s="3"/>
      <c r="G1317" s="4"/>
      <c r="H1317" s="4"/>
      <c r="I1317" s="4"/>
      <c r="J1317" s="4"/>
      <c r="K1317" s="4"/>
      <c r="L1317" s="4"/>
      <c r="M1317" s="4"/>
      <c r="N1317" s="4"/>
      <c r="O1317" s="6"/>
    </row>
    <row r="1318" spans="2:15" s="46" customFormat="1">
      <c r="B1318" s="3"/>
      <c r="C1318" s="3"/>
      <c r="G1318" s="4"/>
      <c r="H1318" s="4"/>
      <c r="I1318" s="4"/>
      <c r="J1318" s="4"/>
      <c r="K1318" s="4"/>
      <c r="L1318" s="4"/>
      <c r="M1318" s="4"/>
      <c r="N1318" s="4"/>
      <c r="O1318" s="6"/>
    </row>
    <row r="1319" spans="2:15" s="46" customFormat="1">
      <c r="B1319" s="3"/>
      <c r="C1319" s="3"/>
      <c r="G1319" s="4"/>
      <c r="H1319" s="4"/>
      <c r="I1319" s="4"/>
      <c r="J1319" s="4"/>
      <c r="K1319" s="4"/>
      <c r="L1319" s="4"/>
      <c r="M1319" s="4"/>
      <c r="N1319" s="4"/>
      <c r="O1319" s="6"/>
    </row>
    <row r="1320" spans="2:15" s="46" customFormat="1">
      <c r="B1320" s="3"/>
      <c r="C1320" s="3"/>
      <c r="G1320" s="4"/>
      <c r="H1320" s="4"/>
      <c r="I1320" s="4"/>
      <c r="J1320" s="4"/>
      <c r="K1320" s="4"/>
      <c r="L1320" s="4"/>
      <c r="M1320" s="4"/>
      <c r="N1320" s="4"/>
      <c r="O1320" s="6"/>
    </row>
    <row r="1321" spans="2:15" s="46" customFormat="1">
      <c r="B1321" s="3"/>
      <c r="C1321" s="3"/>
      <c r="G1321" s="4"/>
      <c r="H1321" s="4"/>
      <c r="I1321" s="4"/>
      <c r="J1321" s="4"/>
      <c r="K1321" s="4"/>
      <c r="L1321" s="4"/>
      <c r="M1321" s="4"/>
      <c r="N1321" s="4"/>
      <c r="O1321" s="6"/>
    </row>
    <row r="1322" spans="2:15" s="46" customFormat="1">
      <c r="B1322" s="3"/>
      <c r="C1322" s="3"/>
      <c r="G1322" s="4"/>
      <c r="H1322" s="4"/>
      <c r="I1322" s="4"/>
      <c r="J1322" s="4"/>
      <c r="K1322" s="4"/>
      <c r="L1322" s="4"/>
      <c r="M1322" s="4"/>
      <c r="N1322" s="4"/>
      <c r="O1322" s="6"/>
    </row>
    <row r="1323" spans="2:15" s="46" customFormat="1">
      <c r="B1323" s="3"/>
      <c r="C1323" s="3"/>
      <c r="G1323" s="4"/>
      <c r="H1323" s="4"/>
      <c r="I1323" s="4"/>
      <c r="J1323" s="4"/>
      <c r="K1323" s="4"/>
      <c r="L1323" s="4"/>
      <c r="M1323" s="4"/>
      <c r="N1323" s="4"/>
      <c r="O1323" s="6"/>
    </row>
    <row r="1324" spans="2:15" s="46" customFormat="1">
      <c r="B1324" s="3"/>
      <c r="C1324" s="3"/>
      <c r="G1324" s="4"/>
      <c r="H1324" s="4"/>
      <c r="I1324" s="4"/>
      <c r="J1324" s="4"/>
      <c r="K1324" s="4"/>
      <c r="L1324" s="4"/>
      <c r="M1324" s="4"/>
      <c r="N1324" s="4"/>
      <c r="O1324" s="6"/>
    </row>
    <row r="1325" spans="2:15" s="46" customFormat="1">
      <c r="B1325" s="3"/>
      <c r="C1325" s="3"/>
      <c r="G1325" s="4"/>
      <c r="H1325" s="4"/>
      <c r="I1325" s="4"/>
      <c r="J1325" s="4"/>
      <c r="K1325" s="4"/>
      <c r="L1325" s="4"/>
      <c r="M1325" s="4"/>
      <c r="N1325" s="4"/>
      <c r="O1325" s="6"/>
    </row>
    <row r="1326" spans="2:15" s="46" customFormat="1">
      <c r="B1326" s="3"/>
      <c r="C1326" s="3"/>
      <c r="G1326" s="4"/>
      <c r="H1326" s="4"/>
      <c r="I1326" s="4"/>
      <c r="J1326" s="4"/>
      <c r="K1326" s="4"/>
      <c r="L1326" s="4"/>
      <c r="M1326" s="4"/>
      <c r="N1326" s="4"/>
      <c r="O1326" s="6"/>
    </row>
    <row r="1327" spans="2:15" s="46" customFormat="1">
      <c r="B1327" s="3"/>
      <c r="C1327" s="3"/>
      <c r="G1327" s="4"/>
      <c r="H1327" s="4"/>
      <c r="I1327" s="4"/>
      <c r="J1327" s="4"/>
      <c r="K1327" s="4"/>
      <c r="L1327" s="4"/>
      <c r="M1327" s="4"/>
      <c r="N1327" s="4"/>
      <c r="O1327" s="6"/>
    </row>
    <row r="1328" spans="2:15" s="46" customFormat="1">
      <c r="B1328" s="3"/>
      <c r="C1328" s="3"/>
      <c r="G1328" s="4"/>
      <c r="H1328" s="4"/>
      <c r="I1328" s="4"/>
      <c r="J1328" s="4"/>
      <c r="K1328" s="4"/>
      <c r="L1328" s="4"/>
      <c r="M1328" s="4"/>
      <c r="N1328" s="4"/>
      <c r="O1328" s="6"/>
    </row>
    <row r="1329" spans="2:15" s="46" customFormat="1">
      <c r="B1329" s="3"/>
      <c r="C1329" s="3"/>
      <c r="G1329" s="4"/>
      <c r="H1329" s="4"/>
      <c r="I1329" s="4"/>
      <c r="J1329" s="4"/>
      <c r="K1329" s="4"/>
      <c r="L1329" s="4"/>
      <c r="M1329" s="4"/>
      <c r="N1329" s="4"/>
      <c r="O1329" s="6"/>
    </row>
    <row r="1330" spans="2:15" s="46" customFormat="1">
      <c r="B1330" s="3"/>
      <c r="C1330" s="3"/>
      <c r="G1330" s="4"/>
      <c r="H1330" s="4"/>
      <c r="I1330" s="4"/>
      <c r="J1330" s="4"/>
      <c r="K1330" s="4"/>
      <c r="L1330" s="4"/>
      <c r="M1330" s="4"/>
      <c r="N1330" s="4"/>
      <c r="O1330" s="6"/>
    </row>
    <row r="1331" spans="2:15" s="46" customFormat="1">
      <c r="B1331" s="3"/>
      <c r="C1331" s="3"/>
      <c r="G1331" s="4"/>
      <c r="H1331" s="4"/>
      <c r="I1331" s="4"/>
      <c r="J1331" s="4"/>
      <c r="K1331" s="4"/>
      <c r="L1331" s="4"/>
      <c r="M1331" s="4"/>
      <c r="N1331" s="4"/>
      <c r="O1331" s="6"/>
    </row>
    <row r="1332" spans="2:15" s="46" customFormat="1">
      <c r="B1332" s="3"/>
      <c r="C1332" s="3"/>
      <c r="G1332" s="4"/>
      <c r="H1332" s="4"/>
      <c r="I1332" s="4"/>
      <c r="J1332" s="4"/>
      <c r="K1332" s="4"/>
      <c r="L1332" s="4"/>
      <c r="M1332" s="4"/>
      <c r="N1332" s="4"/>
      <c r="O1332" s="6"/>
    </row>
    <row r="1333" spans="2:15" s="46" customFormat="1">
      <c r="B1333" s="3"/>
      <c r="C1333" s="3"/>
      <c r="G1333" s="4"/>
      <c r="H1333" s="4"/>
      <c r="I1333" s="4"/>
      <c r="J1333" s="4"/>
      <c r="K1333" s="4"/>
      <c r="L1333" s="4"/>
      <c r="M1333" s="4"/>
      <c r="N1333" s="4"/>
      <c r="O1333" s="6"/>
    </row>
    <row r="1334" spans="2:15" s="46" customFormat="1">
      <c r="B1334" s="3"/>
      <c r="C1334" s="3"/>
      <c r="G1334" s="4"/>
      <c r="H1334" s="4"/>
      <c r="I1334" s="4"/>
      <c r="J1334" s="4"/>
      <c r="K1334" s="4"/>
      <c r="L1334" s="4"/>
      <c r="M1334" s="4"/>
      <c r="N1334" s="4"/>
      <c r="O1334" s="6"/>
    </row>
    <row r="1335" spans="2:15" s="46" customFormat="1">
      <c r="B1335" s="3"/>
      <c r="C1335" s="3"/>
      <c r="G1335" s="4"/>
      <c r="H1335" s="4"/>
      <c r="I1335" s="4"/>
      <c r="J1335" s="4"/>
      <c r="K1335" s="4"/>
      <c r="L1335" s="4"/>
      <c r="M1335" s="4"/>
      <c r="N1335" s="4"/>
      <c r="O1335" s="6"/>
    </row>
    <row r="1336" spans="2:15" s="46" customFormat="1">
      <c r="B1336" s="3"/>
      <c r="C1336" s="3"/>
      <c r="G1336" s="4"/>
      <c r="H1336" s="4"/>
      <c r="I1336" s="4"/>
      <c r="J1336" s="4"/>
      <c r="K1336" s="4"/>
      <c r="L1336" s="4"/>
      <c r="M1336" s="4"/>
      <c r="N1336" s="4"/>
      <c r="O1336" s="6"/>
    </row>
    <row r="1337" spans="2:15" s="46" customFormat="1">
      <c r="B1337" s="3"/>
      <c r="C1337" s="3"/>
      <c r="G1337" s="4"/>
      <c r="H1337" s="4"/>
      <c r="I1337" s="4"/>
      <c r="J1337" s="4"/>
      <c r="K1337" s="4"/>
      <c r="L1337" s="4"/>
      <c r="M1337" s="4"/>
      <c r="N1337" s="4"/>
      <c r="O1337" s="6"/>
    </row>
    <row r="1338" spans="2:15" s="46" customFormat="1">
      <c r="B1338" s="3"/>
      <c r="C1338" s="3"/>
      <c r="G1338" s="4"/>
      <c r="H1338" s="4"/>
      <c r="I1338" s="4"/>
      <c r="J1338" s="4"/>
      <c r="K1338" s="4"/>
      <c r="L1338" s="4"/>
      <c r="M1338" s="4"/>
      <c r="N1338" s="4"/>
      <c r="O1338" s="6"/>
    </row>
    <row r="1339" spans="2:15" s="46" customFormat="1">
      <c r="B1339" s="3"/>
      <c r="C1339" s="3"/>
      <c r="G1339" s="4"/>
      <c r="H1339" s="4"/>
      <c r="I1339" s="4"/>
      <c r="J1339" s="4"/>
      <c r="K1339" s="4"/>
      <c r="L1339" s="4"/>
      <c r="M1339" s="4"/>
      <c r="N1339" s="4"/>
      <c r="O1339" s="6"/>
    </row>
    <row r="1340" spans="2:15" s="46" customFormat="1">
      <c r="B1340" s="3"/>
      <c r="C1340" s="3"/>
      <c r="G1340" s="4"/>
      <c r="H1340" s="4"/>
      <c r="I1340" s="4"/>
      <c r="J1340" s="4"/>
      <c r="K1340" s="4"/>
      <c r="L1340" s="4"/>
      <c r="M1340" s="4"/>
      <c r="N1340" s="4"/>
      <c r="O1340" s="6"/>
    </row>
    <row r="1341" spans="2:15" s="46" customFormat="1">
      <c r="B1341" s="3"/>
      <c r="C1341" s="3"/>
      <c r="G1341" s="4"/>
      <c r="H1341" s="4"/>
      <c r="I1341" s="4"/>
      <c r="J1341" s="4"/>
      <c r="K1341" s="4"/>
      <c r="L1341" s="4"/>
      <c r="M1341" s="4"/>
      <c r="N1341" s="4"/>
      <c r="O1341" s="6"/>
    </row>
    <row r="1342" spans="2:15" s="46" customFormat="1">
      <c r="B1342" s="3"/>
      <c r="C1342" s="3"/>
      <c r="G1342" s="4"/>
      <c r="H1342" s="4"/>
      <c r="I1342" s="4"/>
      <c r="J1342" s="4"/>
      <c r="K1342" s="4"/>
      <c r="L1342" s="4"/>
      <c r="M1342" s="4"/>
      <c r="N1342" s="4"/>
      <c r="O1342" s="6"/>
    </row>
    <row r="1343" spans="2:15" s="46" customFormat="1">
      <c r="B1343" s="3"/>
      <c r="C1343" s="3"/>
      <c r="G1343" s="4"/>
      <c r="H1343" s="4"/>
      <c r="I1343" s="4"/>
      <c r="J1343" s="4"/>
      <c r="K1343" s="4"/>
      <c r="L1343" s="4"/>
      <c r="M1343" s="4"/>
      <c r="N1343" s="4"/>
      <c r="O1343" s="6"/>
    </row>
    <row r="1344" spans="2:15" s="46" customFormat="1">
      <c r="B1344" s="3"/>
      <c r="C1344" s="3"/>
      <c r="G1344" s="4"/>
      <c r="H1344" s="4"/>
      <c r="I1344" s="4"/>
      <c r="J1344" s="4"/>
      <c r="K1344" s="4"/>
      <c r="L1344" s="4"/>
      <c r="M1344" s="4"/>
      <c r="N1344" s="4"/>
      <c r="O1344" s="6"/>
    </row>
    <row r="1345" spans="2:15" s="46" customFormat="1">
      <c r="B1345" s="3"/>
      <c r="C1345" s="3"/>
      <c r="G1345" s="4"/>
      <c r="H1345" s="4"/>
      <c r="I1345" s="4"/>
      <c r="J1345" s="4"/>
      <c r="K1345" s="4"/>
      <c r="L1345" s="4"/>
      <c r="M1345" s="4"/>
      <c r="N1345" s="4"/>
      <c r="O1345" s="6"/>
    </row>
    <row r="1346" spans="2:15" s="46" customFormat="1">
      <c r="B1346" s="3"/>
      <c r="C1346" s="3"/>
      <c r="G1346" s="4"/>
      <c r="H1346" s="4"/>
      <c r="I1346" s="4"/>
      <c r="J1346" s="4"/>
      <c r="K1346" s="4"/>
      <c r="L1346" s="4"/>
      <c r="M1346" s="4"/>
      <c r="N1346" s="4"/>
      <c r="O1346" s="6"/>
    </row>
    <row r="1347" spans="2:15" s="46" customFormat="1">
      <c r="B1347" s="3"/>
      <c r="C1347" s="3"/>
      <c r="G1347" s="4"/>
      <c r="H1347" s="4"/>
      <c r="I1347" s="4"/>
      <c r="J1347" s="4"/>
      <c r="K1347" s="4"/>
      <c r="L1347" s="4"/>
      <c r="M1347" s="4"/>
      <c r="N1347" s="4"/>
      <c r="O1347" s="6"/>
    </row>
    <row r="1348" spans="2:15" s="46" customFormat="1">
      <c r="B1348" s="3"/>
      <c r="C1348" s="3"/>
      <c r="G1348" s="4"/>
      <c r="H1348" s="4"/>
      <c r="I1348" s="4"/>
      <c r="J1348" s="4"/>
      <c r="K1348" s="4"/>
      <c r="L1348" s="4"/>
      <c r="M1348" s="4"/>
      <c r="N1348" s="4"/>
      <c r="O1348" s="6"/>
    </row>
    <row r="1349" spans="2:15" s="46" customFormat="1">
      <c r="B1349" s="3"/>
      <c r="C1349" s="3"/>
      <c r="G1349" s="4"/>
      <c r="H1349" s="4"/>
      <c r="I1349" s="4"/>
      <c r="J1349" s="4"/>
      <c r="K1349" s="4"/>
      <c r="L1349" s="4"/>
      <c r="M1349" s="4"/>
      <c r="N1349" s="4"/>
      <c r="O1349" s="6"/>
    </row>
    <row r="1350" spans="2:15" s="46" customFormat="1">
      <c r="B1350" s="3"/>
      <c r="C1350" s="3"/>
      <c r="G1350" s="4"/>
      <c r="H1350" s="4"/>
      <c r="I1350" s="4"/>
      <c r="J1350" s="4"/>
      <c r="K1350" s="4"/>
      <c r="L1350" s="4"/>
      <c r="M1350" s="4"/>
      <c r="N1350" s="4"/>
      <c r="O1350" s="6"/>
    </row>
    <row r="1351" spans="2:15" s="46" customFormat="1">
      <c r="B1351" s="3"/>
      <c r="C1351" s="3"/>
      <c r="G1351" s="4"/>
      <c r="H1351" s="4"/>
      <c r="I1351" s="4"/>
      <c r="J1351" s="4"/>
      <c r="K1351" s="4"/>
      <c r="L1351" s="4"/>
      <c r="M1351" s="4"/>
      <c r="N1351" s="4"/>
      <c r="O1351" s="6"/>
    </row>
    <row r="1352" spans="2:15" s="46" customFormat="1">
      <c r="B1352" s="3"/>
      <c r="C1352" s="3"/>
      <c r="G1352" s="4"/>
      <c r="H1352" s="4"/>
      <c r="I1352" s="4"/>
      <c r="J1352" s="4"/>
      <c r="K1352" s="4"/>
      <c r="L1352" s="4"/>
      <c r="M1352" s="4"/>
      <c r="N1352" s="4"/>
      <c r="O1352" s="6"/>
    </row>
    <row r="1353" spans="2:15" s="46" customFormat="1">
      <c r="B1353" s="3"/>
      <c r="C1353" s="3"/>
      <c r="G1353" s="4"/>
      <c r="H1353" s="4"/>
      <c r="I1353" s="4"/>
      <c r="J1353" s="4"/>
      <c r="K1353" s="4"/>
      <c r="L1353" s="4"/>
      <c r="M1353" s="4"/>
      <c r="N1353" s="4"/>
      <c r="O1353" s="6"/>
    </row>
    <row r="1354" spans="2:15" s="46" customFormat="1">
      <c r="B1354" s="3"/>
      <c r="C1354" s="3"/>
      <c r="G1354" s="4"/>
      <c r="H1354" s="4"/>
      <c r="I1354" s="4"/>
      <c r="J1354" s="4"/>
      <c r="K1354" s="4"/>
      <c r="L1354" s="4"/>
      <c r="M1354" s="4"/>
      <c r="N1354" s="4"/>
      <c r="O1354" s="6"/>
    </row>
    <row r="1355" spans="2:15" s="46" customFormat="1">
      <c r="B1355" s="3"/>
      <c r="C1355" s="3"/>
      <c r="G1355" s="4"/>
      <c r="H1355" s="4"/>
      <c r="I1355" s="4"/>
      <c r="J1355" s="4"/>
      <c r="K1355" s="4"/>
      <c r="L1355" s="4"/>
      <c r="M1355" s="4"/>
      <c r="N1355" s="4"/>
      <c r="O1355" s="6"/>
    </row>
    <row r="1356" spans="2:15" s="46" customFormat="1">
      <c r="B1356" s="3"/>
      <c r="C1356" s="3"/>
      <c r="G1356" s="4"/>
      <c r="H1356" s="4"/>
      <c r="I1356" s="4"/>
      <c r="J1356" s="4"/>
      <c r="K1356" s="4"/>
      <c r="L1356" s="4"/>
      <c r="M1356" s="4"/>
      <c r="N1356" s="4"/>
      <c r="O1356" s="6"/>
    </row>
    <row r="1357" spans="2:15" s="46" customFormat="1">
      <c r="B1357" s="3"/>
      <c r="C1357" s="3"/>
      <c r="G1357" s="4"/>
      <c r="H1357" s="4"/>
      <c r="I1357" s="4"/>
      <c r="J1357" s="4"/>
      <c r="K1357" s="4"/>
      <c r="L1357" s="4"/>
      <c r="M1357" s="4"/>
      <c r="N1357" s="4"/>
      <c r="O1357" s="6"/>
    </row>
    <row r="1358" spans="2:15" s="46" customFormat="1">
      <c r="B1358" s="3"/>
      <c r="C1358" s="3"/>
      <c r="G1358" s="4"/>
      <c r="H1358" s="4"/>
      <c r="I1358" s="4"/>
      <c r="J1358" s="4"/>
      <c r="K1358" s="4"/>
      <c r="L1358" s="4"/>
      <c r="M1358" s="4"/>
      <c r="N1358" s="4"/>
      <c r="O1358" s="6"/>
    </row>
    <row r="1359" spans="2:15" s="46" customFormat="1">
      <c r="B1359" s="3"/>
      <c r="C1359" s="3"/>
      <c r="G1359" s="4"/>
      <c r="H1359" s="4"/>
      <c r="I1359" s="4"/>
      <c r="J1359" s="4"/>
      <c r="K1359" s="4"/>
      <c r="L1359" s="4"/>
      <c r="M1359" s="4"/>
      <c r="N1359" s="4"/>
      <c r="O1359" s="6"/>
    </row>
    <row r="1360" spans="2:15" s="46" customFormat="1">
      <c r="B1360" s="3"/>
      <c r="C1360" s="3"/>
      <c r="G1360" s="4"/>
      <c r="H1360" s="4"/>
      <c r="I1360" s="4"/>
      <c r="J1360" s="4"/>
      <c r="K1360" s="4"/>
      <c r="L1360" s="4"/>
      <c r="M1360" s="4"/>
      <c r="N1360" s="4"/>
      <c r="O1360" s="6"/>
    </row>
    <row r="1361" spans="2:15" s="46" customFormat="1">
      <c r="B1361" s="3"/>
      <c r="C1361" s="3"/>
      <c r="G1361" s="4"/>
      <c r="H1361" s="4"/>
      <c r="I1361" s="4"/>
      <c r="J1361" s="4"/>
      <c r="K1361" s="4"/>
      <c r="L1361" s="4"/>
      <c r="M1361" s="4"/>
      <c r="N1361" s="4"/>
      <c r="O1361" s="6"/>
    </row>
    <row r="1362" spans="2:15" s="46" customFormat="1">
      <c r="B1362" s="3"/>
      <c r="C1362" s="3"/>
      <c r="G1362" s="4"/>
      <c r="H1362" s="4"/>
      <c r="I1362" s="4"/>
      <c r="J1362" s="4"/>
      <c r="K1362" s="4"/>
      <c r="L1362" s="4"/>
      <c r="M1362" s="4"/>
      <c r="N1362" s="4"/>
      <c r="O1362" s="6"/>
    </row>
    <row r="1363" spans="2:15" s="46" customFormat="1">
      <c r="B1363" s="3"/>
      <c r="C1363" s="3"/>
      <c r="G1363" s="4"/>
      <c r="H1363" s="4"/>
      <c r="I1363" s="4"/>
      <c r="J1363" s="4"/>
      <c r="K1363" s="4"/>
      <c r="L1363" s="4"/>
      <c r="M1363" s="4"/>
      <c r="N1363" s="4"/>
      <c r="O1363" s="6"/>
    </row>
    <row r="1364" spans="2:15" s="46" customFormat="1">
      <c r="B1364" s="3"/>
      <c r="C1364" s="3"/>
      <c r="G1364" s="4"/>
      <c r="H1364" s="4"/>
      <c r="I1364" s="4"/>
      <c r="J1364" s="4"/>
      <c r="K1364" s="4"/>
      <c r="L1364" s="4"/>
      <c r="M1364" s="4"/>
      <c r="N1364" s="4"/>
      <c r="O1364" s="6"/>
    </row>
    <row r="1365" spans="2:15" s="46" customFormat="1">
      <c r="B1365" s="3"/>
      <c r="C1365" s="3"/>
      <c r="G1365" s="4"/>
      <c r="H1365" s="4"/>
      <c r="I1365" s="4"/>
      <c r="J1365" s="4"/>
      <c r="K1365" s="4"/>
      <c r="L1365" s="4"/>
      <c r="M1365" s="4"/>
      <c r="N1365" s="4"/>
      <c r="O1365" s="6"/>
    </row>
    <row r="1366" spans="2:15" s="46" customFormat="1">
      <c r="B1366" s="3"/>
      <c r="C1366" s="3"/>
      <c r="G1366" s="4"/>
      <c r="H1366" s="4"/>
      <c r="I1366" s="4"/>
      <c r="J1366" s="4"/>
      <c r="K1366" s="4"/>
      <c r="L1366" s="4"/>
      <c r="M1366" s="4"/>
      <c r="N1366" s="4"/>
      <c r="O1366" s="6"/>
    </row>
    <row r="1367" spans="2:15" s="46" customFormat="1">
      <c r="B1367" s="3"/>
      <c r="C1367" s="3"/>
      <c r="G1367" s="4"/>
      <c r="H1367" s="4"/>
      <c r="I1367" s="4"/>
      <c r="J1367" s="4"/>
      <c r="K1367" s="4"/>
      <c r="L1367" s="4"/>
      <c r="M1367" s="4"/>
      <c r="N1367" s="4"/>
      <c r="O1367" s="6"/>
    </row>
    <row r="1368" spans="2:15" s="46" customFormat="1">
      <c r="B1368" s="3"/>
      <c r="C1368" s="3"/>
      <c r="G1368" s="4"/>
      <c r="H1368" s="4"/>
      <c r="I1368" s="4"/>
      <c r="J1368" s="4"/>
      <c r="K1368" s="4"/>
      <c r="L1368" s="4"/>
      <c r="M1368" s="4"/>
      <c r="N1368" s="4"/>
      <c r="O1368" s="6"/>
    </row>
    <row r="1369" spans="2:15" s="46" customFormat="1">
      <c r="B1369" s="3"/>
      <c r="C1369" s="3"/>
      <c r="G1369" s="4"/>
      <c r="H1369" s="4"/>
      <c r="I1369" s="4"/>
      <c r="J1369" s="4"/>
      <c r="K1369" s="4"/>
      <c r="L1369" s="4"/>
      <c r="M1369" s="4"/>
      <c r="N1369" s="4"/>
      <c r="O1369" s="6"/>
    </row>
    <row r="1370" spans="2:15" s="46" customFormat="1">
      <c r="B1370" s="3"/>
      <c r="C1370" s="3"/>
      <c r="G1370" s="4"/>
      <c r="H1370" s="4"/>
      <c r="I1370" s="4"/>
      <c r="J1370" s="4"/>
      <c r="K1370" s="4"/>
      <c r="L1370" s="4"/>
      <c r="M1370" s="4"/>
      <c r="N1370" s="4"/>
      <c r="O1370" s="6"/>
    </row>
    <row r="1371" spans="2:15" s="46" customFormat="1">
      <c r="B1371" s="3"/>
      <c r="C1371" s="3"/>
      <c r="G1371" s="4"/>
      <c r="H1371" s="4"/>
      <c r="I1371" s="4"/>
      <c r="J1371" s="4"/>
      <c r="K1371" s="4"/>
      <c r="L1371" s="4"/>
      <c r="M1371" s="4"/>
      <c r="N1371" s="4"/>
      <c r="O1371" s="6"/>
    </row>
    <row r="1372" spans="2:15" s="46" customFormat="1">
      <c r="B1372" s="3"/>
      <c r="C1372" s="3"/>
      <c r="G1372" s="4"/>
      <c r="H1372" s="4"/>
      <c r="I1372" s="4"/>
      <c r="J1372" s="4"/>
      <c r="K1372" s="4"/>
      <c r="L1372" s="4"/>
      <c r="M1372" s="4"/>
      <c r="N1372" s="4"/>
      <c r="O1372" s="6"/>
    </row>
    <row r="1373" spans="2:15" s="46" customFormat="1">
      <c r="B1373" s="3"/>
      <c r="C1373" s="3"/>
      <c r="G1373" s="4"/>
      <c r="H1373" s="4"/>
      <c r="I1373" s="4"/>
      <c r="J1373" s="4"/>
      <c r="K1373" s="4"/>
      <c r="L1373" s="4"/>
      <c r="M1373" s="4"/>
      <c r="N1373" s="4"/>
      <c r="O1373" s="6"/>
    </row>
    <row r="1374" spans="2:15" s="46" customFormat="1">
      <c r="B1374" s="3"/>
      <c r="C1374" s="3"/>
      <c r="G1374" s="4"/>
      <c r="H1374" s="4"/>
      <c r="I1374" s="4"/>
      <c r="J1374" s="4"/>
      <c r="K1374" s="4"/>
      <c r="L1374" s="4"/>
      <c r="M1374" s="4"/>
      <c r="N1374" s="4"/>
      <c r="O1374" s="6"/>
    </row>
    <row r="1375" spans="2:15" s="46" customFormat="1">
      <c r="B1375" s="3"/>
      <c r="C1375" s="3"/>
      <c r="G1375" s="4"/>
      <c r="H1375" s="4"/>
      <c r="I1375" s="4"/>
      <c r="J1375" s="4"/>
      <c r="K1375" s="4"/>
      <c r="L1375" s="4"/>
      <c r="M1375" s="4"/>
      <c r="N1375" s="4"/>
      <c r="O1375" s="6"/>
    </row>
    <row r="1376" spans="2:15" s="46" customFormat="1">
      <c r="B1376" s="3"/>
      <c r="C1376" s="3"/>
      <c r="G1376" s="4"/>
      <c r="H1376" s="4"/>
      <c r="I1376" s="4"/>
      <c r="J1376" s="4"/>
      <c r="K1376" s="4"/>
      <c r="L1376" s="4"/>
      <c r="M1376" s="4"/>
      <c r="N1376" s="4"/>
      <c r="O1376" s="6"/>
    </row>
    <row r="1377" spans="2:15" s="46" customFormat="1">
      <c r="B1377" s="3"/>
      <c r="C1377" s="3"/>
      <c r="G1377" s="4"/>
      <c r="H1377" s="4"/>
      <c r="I1377" s="4"/>
      <c r="J1377" s="4"/>
      <c r="K1377" s="4"/>
      <c r="L1377" s="4"/>
      <c r="M1377" s="4"/>
      <c r="N1377" s="4"/>
      <c r="O1377" s="6"/>
    </row>
    <row r="1378" spans="2:15" s="46" customFormat="1">
      <c r="B1378" s="3"/>
      <c r="C1378" s="3"/>
      <c r="G1378" s="4"/>
      <c r="H1378" s="4"/>
      <c r="I1378" s="4"/>
      <c r="J1378" s="4"/>
      <c r="K1378" s="4"/>
      <c r="L1378" s="4"/>
      <c r="M1378" s="4"/>
      <c r="N1378" s="4"/>
      <c r="O1378" s="6"/>
    </row>
    <row r="1379" spans="2:15" s="46" customFormat="1">
      <c r="B1379" s="3"/>
      <c r="C1379" s="3"/>
      <c r="G1379" s="4"/>
      <c r="H1379" s="4"/>
      <c r="I1379" s="4"/>
      <c r="J1379" s="4"/>
      <c r="K1379" s="4"/>
      <c r="L1379" s="4"/>
      <c r="M1379" s="4"/>
      <c r="N1379" s="4"/>
      <c r="O1379" s="6"/>
    </row>
    <row r="1380" spans="2:15" s="46" customFormat="1">
      <c r="B1380" s="3"/>
      <c r="C1380" s="3"/>
      <c r="G1380" s="4"/>
      <c r="H1380" s="4"/>
      <c r="I1380" s="4"/>
      <c r="J1380" s="4"/>
      <c r="K1380" s="4"/>
      <c r="L1380" s="4"/>
      <c r="M1380" s="4"/>
      <c r="N1380" s="4"/>
      <c r="O1380" s="6"/>
    </row>
    <row r="1381" spans="2:15" s="46" customFormat="1">
      <c r="B1381" s="3"/>
      <c r="C1381" s="3"/>
      <c r="G1381" s="4"/>
      <c r="H1381" s="4"/>
      <c r="I1381" s="4"/>
      <c r="J1381" s="4"/>
      <c r="K1381" s="4"/>
      <c r="L1381" s="4"/>
      <c r="M1381" s="4"/>
      <c r="N1381" s="4"/>
      <c r="O1381" s="6"/>
    </row>
    <row r="1382" spans="2:15" s="46" customFormat="1">
      <c r="B1382" s="3"/>
      <c r="C1382" s="3"/>
      <c r="G1382" s="4"/>
      <c r="H1382" s="4"/>
      <c r="I1382" s="4"/>
      <c r="J1382" s="4"/>
      <c r="K1382" s="4"/>
      <c r="L1382" s="4"/>
      <c r="M1382" s="4"/>
      <c r="N1382" s="4"/>
      <c r="O1382" s="6"/>
    </row>
    <row r="1383" spans="2:15" s="46" customFormat="1">
      <c r="B1383" s="3"/>
      <c r="C1383" s="3"/>
      <c r="G1383" s="4"/>
      <c r="H1383" s="4"/>
      <c r="I1383" s="4"/>
      <c r="J1383" s="4"/>
      <c r="K1383" s="4"/>
      <c r="L1383" s="4"/>
      <c r="M1383" s="4"/>
      <c r="N1383" s="4"/>
      <c r="O1383" s="6"/>
    </row>
    <row r="1384" spans="2:15" s="46" customFormat="1">
      <c r="B1384" s="3"/>
      <c r="C1384" s="3"/>
      <c r="G1384" s="4"/>
      <c r="H1384" s="4"/>
      <c r="I1384" s="4"/>
      <c r="J1384" s="4"/>
      <c r="K1384" s="4"/>
      <c r="L1384" s="4"/>
      <c r="M1384" s="4"/>
      <c r="N1384" s="4"/>
      <c r="O1384" s="6"/>
    </row>
    <row r="1385" spans="2:15" s="46" customFormat="1">
      <c r="B1385" s="3"/>
      <c r="C1385" s="3"/>
      <c r="G1385" s="4"/>
      <c r="H1385" s="4"/>
      <c r="I1385" s="4"/>
      <c r="J1385" s="4"/>
      <c r="K1385" s="4"/>
      <c r="L1385" s="4"/>
      <c r="M1385" s="4"/>
      <c r="N1385" s="4"/>
      <c r="O1385" s="6"/>
    </row>
    <row r="1386" spans="2:15" s="46" customFormat="1">
      <c r="B1386" s="3"/>
      <c r="C1386" s="3"/>
      <c r="G1386" s="4"/>
      <c r="H1386" s="4"/>
      <c r="I1386" s="4"/>
      <c r="J1386" s="4"/>
      <c r="K1386" s="4"/>
      <c r="L1386" s="4"/>
      <c r="M1386" s="4"/>
      <c r="N1386" s="4"/>
      <c r="O1386" s="6"/>
    </row>
    <row r="1387" spans="2:15" s="46" customFormat="1">
      <c r="B1387" s="3"/>
      <c r="C1387" s="3"/>
      <c r="G1387" s="4"/>
      <c r="H1387" s="4"/>
      <c r="I1387" s="4"/>
      <c r="J1387" s="4"/>
      <c r="K1387" s="4"/>
      <c r="L1387" s="4"/>
      <c r="M1387" s="4"/>
      <c r="N1387" s="4"/>
      <c r="O1387" s="6"/>
    </row>
    <row r="1388" spans="2:15" s="46" customFormat="1">
      <c r="B1388" s="3"/>
      <c r="C1388" s="3"/>
      <c r="G1388" s="4"/>
      <c r="H1388" s="4"/>
      <c r="I1388" s="4"/>
      <c r="J1388" s="4"/>
      <c r="K1388" s="4"/>
      <c r="L1388" s="4"/>
      <c r="M1388" s="4"/>
      <c r="N1388" s="4"/>
      <c r="O1388" s="6"/>
    </row>
    <row r="1389" spans="2:15" s="46" customFormat="1">
      <c r="B1389" s="3"/>
      <c r="C1389" s="3"/>
      <c r="G1389" s="4"/>
      <c r="H1389" s="4"/>
      <c r="I1389" s="4"/>
      <c r="J1389" s="4"/>
      <c r="K1389" s="4"/>
      <c r="L1389" s="4"/>
      <c r="M1389" s="4"/>
      <c r="N1389" s="4"/>
      <c r="O1389" s="6"/>
    </row>
    <row r="1390" spans="2:15" s="46" customFormat="1">
      <c r="B1390" s="3"/>
      <c r="C1390" s="3"/>
      <c r="G1390" s="4"/>
      <c r="H1390" s="4"/>
      <c r="I1390" s="4"/>
      <c r="J1390" s="4"/>
      <c r="K1390" s="4"/>
      <c r="L1390" s="4"/>
      <c r="M1390" s="4"/>
      <c r="N1390" s="4"/>
      <c r="O1390" s="6"/>
    </row>
    <row r="1391" spans="2:15" s="46" customFormat="1">
      <c r="B1391" s="3"/>
      <c r="C1391" s="3"/>
      <c r="G1391" s="4"/>
      <c r="H1391" s="4"/>
      <c r="I1391" s="4"/>
      <c r="J1391" s="4"/>
      <c r="K1391" s="4"/>
      <c r="L1391" s="4"/>
      <c r="M1391" s="4"/>
      <c r="N1391" s="4"/>
      <c r="O1391" s="6"/>
    </row>
    <row r="1392" spans="2:15" s="46" customFormat="1">
      <c r="B1392" s="3"/>
      <c r="C1392" s="3"/>
      <c r="G1392" s="4"/>
      <c r="H1392" s="4"/>
      <c r="I1392" s="4"/>
      <c r="J1392" s="4"/>
      <c r="K1392" s="4"/>
      <c r="L1392" s="4"/>
      <c r="M1392" s="4"/>
      <c r="N1392" s="4"/>
      <c r="O1392" s="6"/>
    </row>
    <row r="1393" spans="2:15" s="46" customFormat="1">
      <c r="B1393" s="3"/>
      <c r="C1393" s="3"/>
      <c r="G1393" s="4"/>
      <c r="H1393" s="4"/>
      <c r="I1393" s="4"/>
      <c r="J1393" s="4"/>
      <c r="K1393" s="4"/>
      <c r="L1393" s="4"/>
      <c r="M1393" s="4"/>
      <c r="N1393" s="4"/>
      <c r="O1393" s="6"/>
    </row>
    <row r="1394" spans="2:15" s="46" customFormat="1">
      <c r="B1394" s="3"/>
      <c r="C1394" s="3"/>
      <c r="G1394" s="4"/>
      <c r="H1394" s="4"/>
      <c r="I1394" s="4"/>
      <c r="J1394" s="4"/>
      <c r="K1394" s="4"/>
      <c r="L1394" s="4"/>
      <c r="M1394" s="4"/>
      <c r="N1394" s="4"/>
      <c r="O1394" s="6"/>
    </row>
    <row r="1395" spans="2:15" s="46" customFormat="1">
      <c r="B1395" s="3"/>
      <c r="C1395" s="3"/>
      <c r="G1395" s="4"/>
      <c r="H1395" s="4"/>
      <c r="I1395" s="4"/>
      <c r="J1395" s="4"/>
      <c r="K1395" s="4"/>
      <c r="L1395" s="4"/>
      <c r="M1395" s="4"/>
      <c r="N1395" s="4"/>
      <c r="O1395" s="6"/>
    </row>
    <row r="1396" spans="2:15" s="46" customFormat="1">
      <c r="B1396" s="3"/>
      <c r="C1396" s="3"/>
      <c r="G1396" s="4"/>
      <c r="H1396" s="4"/>
      <c r="I1396" s="4"/>
      <c r="J1396" s="4"/>
      <c r="K1396" s="4"/>
      <c r="L1396" s="4"/>
      <c r="M1396" s="4"/>
      <c r="N1396" s="4"/>
      <c r="O1396" s="6"/>
    </row>
    <row r="1397" spans="2:15" s="46" customFormat="1">
      <c r="B1397" s="3"/>
      <c r="C1397" s="3"/>
      <c r="G1397" s="4"/>
      <c r="H1397" s="4"/>
      <c r="I1397" s="4"/>
      <c r="J1397" s="4"/>
      <c r="K1397" s="4"/>
      <c r="L1397" s="4"/>
      <c r="M1397" s="4"/>
      <c r="N1397" s="4"/>
      <c r="O1397" s="6"/>
    </row>
    <row r="1398" spans="2:15" s="46" customFormat="1">
      <c r="B1398" s="3"/>
      <c r="C1398" s="3"/>
      <c r="G1398" s="4"/>
      <c r="H1398" s="4"/>
      <c r="I1398" s="4"/>
      <c r="J1398" s="4"/>
      <c r="K1398" s="4"/>
      <c r="L1398" s="4"/>
      <c r="M1398" s="4"/>
      <c r="N1398" s="4"/>
      <c r="O1398" s="6"/>
    </row>
    <row r="1399" spans="2:15" s="46" customFormat="1">
      <c r="B1399" s="3"/>
      <c r="C1399" s="3"/>
      <c r="G1399" s="4"/>
      <c r="H1399" s="4"/>
      <c r="I1399" s="4"/>
      <c r="J1399" s="4"/>
      <c r="K1399" s="4"/>
      <c r="L1399" s="4"/>
      <c r="M1399" s="4"/>
      <c r="N1399" s="4"/>
      <c r="O1399" s="6"/>
    </row>
    <row r="1400" spans="2:15" s="46" customFormat="1">
      <c r="B1400" s="3"/>
      <c r="C1400" s="3"/>
      <c r="G1400" s="4"/>
      <c r="H1400" s="4"/>
      <c r="I1400" s="4"/>
      <c r="J1400" s="4"/>
      <c r="K1400" s="4"/>
      <c r="L1400" s="4"/>
      <c r="M1400" s="4"/>
      <c r="N1400" s="4"/>
      <c r="O1400" s="6"/>
    </row>
    <row r="1401" spans="2:15" s="46" customFormat="1">
      <c r="B1401" s="3"/>
      <c r="C1401" s="3"/>
      <c r="G1401" s="4"/>
      <c r="H1401" s="4"/>
      <c r="I1401" s="4"/>
      <c r="J1401" s="4"/>
      <c r="K1401" s="4"/>
      <c r="L1401" s="4"/>
      <c r="M1401" s="4"/>
      <c r="N1401" s="4"/>
      <c r="O1401" s="6"/>
    </row>
    <row r="1402" spans="2:15" s="46" customFormat="1">
      <c r="B1402" s="3"/>
      <c r="C1402" s="3"/>
      <c r="G1402" s="4"/>
      <c r="H1402" s="4"/>
      <c r="I1402" s="4"/>
      <c r="J1402" s="4"/>
      <c r="K1402" s="4"/>
      <c r="L1402" s="4"/>
      <c r="M1402" s="4"/>
      <c r="N1402" s="4"/>
      <c r="O1402" s="6"/>
    </row>
    <row r="1403" spans="2:15" s="46" customFormat="1">
      <c r="B1403" s="3"/>
      <c r="C1403" s="3"/>
      <c r="G1403" s="4"/>
      <c r="H1403" s="4"/>
      <c r="I1403" s="4"/>
      <c r="J1403" s="4"/>
      <c r="K1403" s="4"/>
      <c r="L1403" s="4"/>
      <c r="M1403" s="4"/>
      <c r="N1403" s="4"/>
      <c r="O1403" s="6"/>
    </row>
    <row r="1404" spans="2:15" s="46" customFormat="1">
      <c r="B1404" s="3"/>
      <c r="C1404" s="3"/>
      <c r="G1404" s="4"/>
      <c r="H1404" s="4"/>
      <c r="I1404" s="4"/>
      <c r="J1404" s="4"/>
      <c r="K1404" s="4"/>
      <c r="L1404" s="4"/>
      <c r="M1404" s="4"/>
      <c r="N1404" s="4"/>
      <c r="O1404" s="6"/>
    </row>
    <row r="1405" spans="2:15" s="46" customFormat="1">
      <c r="B1405" s="3"/>
      <c r="C1405" s="3"/>
      <c r="G1405" s="4"/>
      <c r="H1405" s="4"/>
      <c r="I1405" s="4"/>
      <c r="J1405" s="4"/>
      <c r="K1405" s="4"/>
      <c r="L1405" s="4"/>
      <c r="M1405" s="4"/>
      <c r="N1405" s="4"/>
      <c r="O1405" s="6"/>
    </row>
    <row r="1406" spans="2:15" s="46" customFormat="1">
      <c r="B1406" s="3"/>
      <c r="C1406" s="3"/>
      <c r="G1406" s="4"/>
      <c r="H1406" s="4"/>
      <c r="I1406" s="4"/>
      <c r="J1406" s="4"/>
      <c r="K1406" s="4"/>
      <c r="L1406" s="4"/>
      <c r="M1406" s="4"/>
      <c r="N1406" s="4"/>
      <c r="O1406" s="6"/>
    </row>
    <row r="1407" spans="2:15" s="46" customFormat="1">
      <c r="B1407" s="3"/>
      <c r="C1407" s="3"/>
      <c r="G1407" s="4"/>
      <c r="H1407" s="4"/>
      <c r="I1407" s="4"/>
      <c r="J1407" s="4"/>
      <c r="K1407" s="4"/>
      <c r="L1407" s="4"/>
      <c r="M1407" s="4"/>
      <c r="N1407" s="4"/>
      <c r="O1407" s="6"/>
    </row>
    <row r="1408" spans="2:15" s="46" customFormat="1">
      <c r="B1408" s="3"/>
      <c r="C1408" s="3"/>
      <c r="G1408" s="4"/>
      <c r="H1408" s="4"/>
      <c r="I1408" s="4"/>
      <c r="J1408" s="4"/>
      <c r="K1408" s="4"/>
      <c r="L1408" s="4"/>
      <c r="M1408" s="4"/>
      <c r="N1408" s="4"/>
      <c r="O1408" s="6"/>
    </row>
    <row r="1409" spans="2:15" s="46" customFormat="1">
      <c r="B1409" s="3"/>
      <c r="C1409" s="3"/>
      <c r="G1409" s="4"/>
      <c r="H1409" s="4"/>
      <c r="I1409" s="4"/>
      <c r="J1409" s="4"/>
      <c r="K1409" s="4"/>
      <c r="L1409" s="4"/>
      <c r="M1409" s="4"/>
      <c r="N1409" s="4"/>
      <c r="O1409" s="6"/>
    </row>
    <row r="1410" spans="2:15" s="46" customFormat="1">
      <c r="B1410" s="3"/>
      <c r="C1410" s="3"/>
      <c r="G1410" s="4"/>
      <c r="H1410" s="4"/>
      <c r="I1410" s="4"/>
      <c r="J1410" s="4"/>
      <c r="K1410" s="4"/>
      <c r="L1410" s="4"/>
      <c r="M1410" s="4"/>
      <c r="N1410" s="4"/>
      <c r="O1410" s="6"/>
    </row>
    <row r="1411" spans="2:15" s="46" customFormat="1">
      <c r="B1411" s="3"/>
      <c r="C1411" s="3"/>
      <c r="G1411" s="4"/>
      <c r="H1411" s="4"/>
      <c r="I1411" s="4"/>
      <c r="J1411" s="4"/>
      <c r="K1411" s="4"/>
      <c r="L1411" s="4"/>
      <c r="M1411" s="4"/>
      <c r="N1411" s="4"/>
      <c r="O1411" s="6"/>
    </row>
    <row r="1412" spans="2:15" s="46" customFormat="1">
      <c r="B1412" s="3"/>
      <c r="C1412" s="3"/>
      <c r="G1412" s="4"/>
      <c r="H1412" s="4"/>
      <c r="I1412" s="4"/>
      <c r="J1412" s="4"/>
      <c r="K1412" s="4"/>
      <c r="L1412" s="4"/>
      <c r="M1412" s="4"/>
      <c r="N1412" s="4"/>
      <c r="O1412" s="6"/>
    </row>
    <row r="1413" spans="2:15" s="46" customFormat="1">
      <c r="B1413" s="3"/>
      <c r="C1413" s="3"/>
      <c r="G1413" s="4"/>
      <c r="H1413" s="4"/>
      <c r="I1413" s="4"/>
      <c r="J1413" s="4"/>
      <c r="K1413" s="4"/>
      <c r="L1413" s="4"/>
      <c r="M1413" s="4"/>
      <c r="N1413" s="4"/>
      <c r="O1413" s="6"/>
    </row>
    <row r="1414" spans="2:15" s="46" customFormat="1">
      <c r="B1414" s="3"/>
      <c r="C1414" s="3"/>
      <c r="G1414" s="4"/>
      <c r="H1414" s="4"/>
      <c r="I1414" s="4"/>
      <c r="J1414" s="4"/>
      <c r="K1414" s="4"/>
      <c r="L1414" s="4"/>
      <c r="M1414" s="4"/>
      <c r="N1414" s="4"/>
      <c r="O1414" s="6"/>
    </row>
    <row r="1415" spans="2:15" s="46" customFormat="1">
      <c r="B1415" s="3"/>
      <c r="C1415" s="3"/>
      <c r="G1415" s="4"/>
      <c r="H1415" s="4"/>
      <c r="I1415" s="4"/>
      <c r="J1415" s="4"/>
      <c r="K1415" s="4"/>
      <c r="L1415" s="4"/>
      <c r="M1415" s="4"/>
      <c r="N1415" s="4"/>
      <c r="O1415" s="6"/>
    </row>
    <row r="1416" spans="2:15" s="46" customFormat="1">
      <c r="B1416" s="3"/>
      <c r="C1416" s="3"/>
      <c r="G1416" s="4"/>
      <c r="H1416" s="4"/>
      <c r="I1416" s="4"/>
      <c r="J1416" s="4"/>
      <c r="K1416" s="4"/>
      <c r="L1416" s="4"/>
      <c r="M1416" s="4"/>
      <c r="N1416" s="4"/>
      <c r="O1416" s="6"/>
    </row>
    <row r="1417" spans="2:15" s="46" customFormat="1">
      <c r="B1417" s="3"/>
      <c r="C1417" s="3"/>
      <c r="G1417" s="4"/>
      <c r="H1417" s="4"/>
      <c r="I1417" s="4"/>
      <c r="J1417" s="4"/>
      <c r="K1417" s="4"/>
      <c r="L1417" s="4"/>
      <c r="M1417" s="4"/>
      <c r="N1417" s="4"/>
      <c r="O1417" s="6"/>
    </row>
    <row r="1418" spans="2:15" s="46" customFormat="1">
      <c r="B1418" s="3"/>
      <c r="C1418" s="3"/>
      <c r="G1418" s="4"/>
      <c r="H1418" s="4"/>
      <c r="I1418" s="4"/>
      <c r="J1418" s="4"/>
      <c r="K1418" s="4"/>
      <c r="L1418" s="4"/>
      <c r="M1418" s="4"/>
      <c r="N1418" s="4"/>
      <c r="O1418" s="6"/>
    </row>
    <row r="1419" spans="2:15" s="46" customFormat="1">
      <c r="B1419" s="3"/>
      <c r="C1419" s="3"/>
      <c r="G1419" s="4"/>
      <c r="H1419" s="4"/>
      <c r="I1419" s="4"/>
      <c r="J1419" s="4"/>
      <c r="K1419" s="4"/>
      <c r="L1419" s="4"/>
      <c r="M1419" s="4"/>
      <c r="N1419" s="4"/>
      <c r="O1419" s="6"/>
    </row>
    <row r="1420" spans="2:15" s="46" customFormat="1">
      <c r="B1420" s="3"/>
      <c r="C1420" s="3"/>
      <c r="G1420" s="4"/>
      <c r="H1420" s="4"/>
      <c r="I1420" s="4"/>
      <c r="J1420" s="4"/>
      <c r="K1420" s="4"/>
      <c r="L1420" s="4"/>
      <c r="M1420" s="4"/>
      <c r="N1420" s="4"/>
      <c r="O1420" s="6"/>
    </row>
    <row r="1421" spans="2:15" s="46" customFormat="1">
      <c r="B1421" s="3"/>
      <c r="C1421" s="3"/>
      <c r="G1421" s="4"/>
      <c r="H1421" s="4"/>
      <c r="I1421" s="4"/>
      <c r="J1421" s="4"/>
      <c r="K1421" s="4"/>
      <c r="L1421" s="4"/>
      <c r="M1421" s="4"/>
      <c r="N1421" s="4"/>
      <c r="O1421" s="6"/>
    </row>
    <row r="1422" spans="2:15" s="46" customFormat="1">
      <c r="B1422" s="3"/>
      <c r="C1422" s="3"/>
      <c r="G1422" s="4"/>
      <c r="H1422" s="4"/>
      <c r="I1422" s="4"/>
      <c r="J1422" s="4"/>
      <c r="K1422" s="4"/>
      <c r="L1422" s="4"/>
      <c r="M1422" s="4"/>
      <c r="N1422" s="4"/>
      <c r="O1422" s="6"/>
    </row>
    <row r="1423" spans="2:15" s="46" customFormat="1">
      <c r="B1423" s="3"/>
      <c r="C1423" s="3"/>
      <c r="G1423" s="4"/>
      <c r="H1423" s="4"/>
      <c r="I1423" s="4"/>
      <c r="J1423" s="4"/>
      <c r="K1423" s="4"/>
      <c r="L1423" s="4"/>
      <c r="M1423" s="4"/>
      <c r="N1423" s="4"/>
      <c r="O1423" s="6"/>
    </row>
    <row r="1424" spans="2:15" s="46" customFormat="1">
      <c r="B1424" s="3"/>
      <c r="C1424" s="3"/>
      <c r="G1424" s="4"/>
      <c r="H1424" s="4"/>
      <c r="I1424" s="4"/>
      <c r="J1424" s="4"/>
      <c r="K1424" s="4"/>
      <c r="L1424" s="4"/>
      <c r="M1424" s="4"/>
      <c r="N1424" s="4"/>
      <c r="O1424" s="6"/>
    </row>
    <row r="1425" spans="2:15" s="46" customFormat="1">
      <c r="B1425" s="3"/>
      <c r="C1425" s="3"/>
      <c r="G1425" s="4"/>
      <c r="H1425" s="4"/>
      <c r="I1425" s="4"/>
      <c r="J1425" s="4"/>
      <c r="K1425" s="4"/>
      <c r="L1425" s="4"/>
      <c r="M1425" s="4"/>
      <c r="N1425" s="4"/>
      <c r="O1425" s="6"/>
    </row>
    <row r="1426" spans="2:15" s="46" customFormat="1">
      <c r="B1426" s="3"/>
      <c r="C1426" s="3"/>
      <c r="G1426" s="4"/>
      <c r="H1426" s="4"/>
      <c r="I1426" s="4"/>
      <c r="J1426" s="4"/>
      <c r="K1426" s="4"/>
      <c r="L1426" s="4"/>
      <c r="M1426" s="4"/>
      <c r="N1426" s="4"/>
      <c r="O1426" s="6"/>
    </row>
    <row r="1427" spans="2:15" s="46" customFormat="1">
      <c r="B1427" s="3"/>
      <c r="C1427" s="3"/>
      <c r="G1427" s="4"/>
      <c r="H1427" s="4"/>
      <c r="I1427" s="4"/>
      <c r="J1427" s="4"/>
      <c r="K1427" s="4"/>
      <c r="L1427" s="4"/>
      <c r="M1427" s="4"/>
      <c r="N1427" s="4"/>
      <c r="O1427" s="6"/>
    </row>
    <row r="1428" spans="2:15" s="46" customFormat="1">
      <c r="B1428" s="3"/>
      <c r="C1428" s="3"/>
      <c r="G1428" s="4"/>
      <c r="H1428" s="4"/>
      <c r="I1428" s="4"/>
      <c r="J1428" s="4"/>
      <c r="K1428" s="4"/>
      <c r="L1428" s="4"/>
      <c r="M1428" s="4"/>
      <c r="N1428" s="4"/>
      <c r="O1428" s="6"/>
    </row>
    <row r="1429" spans="2:15" s="46" customFormat="1">
      <c r="B1429" s="3"/>
      <c r="C1429" s="3"/>
      <c r="G1429" s="4"/>
      <c r="H1429" s="4"/>
      <c r="I1429" s="4"/>
      <c r="J1429" s="4"/>
      <c r="K1429" s="4"/>
      <c r="L1429" s="4"/>
      <c r="M1429" s="4"/>
      <c r="N1429" s="4"/>
      <c r="O1429" s="6"/>
    </row>
    <row r="1430" spans="2:15" s="46" customFormat="1">
      <c r="B1430" s="3"/>
      <c r="C1430" s="3"/>
      <c r="G1430" s="4"/>
      <c r="H1430" s="4"/>
      <c r="I1430" s="4"/>
      <c r="J1430" s="4"/>
      <c r="K1430" s="4"/>
      <c r="L1430" s="4"/>
      <c r="M1430" s="4"/>
      <c r="N1430" s="4"/>
      <c r="O1430" s="6"/>
    </row>
    <row r="1431" spans="2:15" s="46" customFormat="1">
      <c r="B1431" s="3"/>
      <c r="C1431" s="3"/>
      <c r="G1431" s="4"/>
      <c r="H1431" s="4"/>
      <c r="I1431" s="4"/>
      <c r="J1431" s="4"/>
      <c r="K1431" s="4"/>
      <c r="L1431" s="4"/>
      <c r="M1431" s="4"/>
      <c r="N1431" s="4"/>
      <c r="O1431" s="6"/>
    </row>
    <row r="1432" spans="2:15" s="46" customFormat="1">
      <c r="B1432" s="3"/>
      <c r="C1432" s="3"/>
      <c r="G1432" s="4"/>
      <c r="H1432" s="4"/>
      <c r="I1432" s="4"/>
      <c r="J1432" s="4"/>
      <c r="K1432" s="4"/>
      <c r="L1432" s="4"/>
      <c r="M1432" s="4"/>
      <c r="N1432" s="4"/>
      <c r="O1432" s="6"/>
    </row>
    <row r="1433" spans="2:15" s="46" customFormat="1">
      <c r="B1433" s="3"/>
      <c r="C1433" s="3"/>
      <c r="G1433" s="4"/>
      <c r="H1433" s="4"/>
      <c r="I1433" s="4"/>
      <c r="J1433" s="4"/>
      <c r="K1433" s="4"/>
      <c r="L1433" s="4"/>
      <c r="M1433" s="4"/>
      <c r="N1433" s="4"/>
      <c r="O1433" s="6"/>
    </row>
    <row r="1434" spans="2:15" s="46" customFormat="1">
      <c r="B1434" s="3"/>
      <c r="C1434" s="3"/>
      <c r="G1434" s="4"/>
      <c r="H1434" s="4"/>
      <c r="I1434" s="4"/>
      <c r="J1434" s="4"/>
      <c r="K1434" s="4"/>
      <c r="L1434" s="4"/>
      <c r="M1434" s="4"/>
      <c r="N1434" s="4"/>
      <c r="O1434" s="6"/>
    </row>
    <row r="1435" spans="2:15" s="46" customFormat="1">
      <c r="B1435" s="3"/>
      <c r="C1435" s="3"/>
      <c r="G1435" s="4"/>
      <c r="H1435" s="4"/>
      <c r="I1435" s="4"/>
      <c r="J1435" s="4"/>
      <c r="K1435" s="4"/>
      <c r="L1435" s="4"/>
      <c r="M1435" s="4"/>
      <c r="N1435" s="4"/>
      <c r="O1435" s="6"/>
    </row>
    <row r="1436" spans="2:15" s="46" customFormat="1">
      <c r="B1436" s="3"/>
      <c r="C1436" s="3"/>
      <c r="G1436" s="4"/>
      <c r="H1436" s="4"/>
      <c r="I1436" s="4"/>
      <c r="J1436" s="4"/>
      <c r="K1436" s="4"/>
      <c r="L1436" s="4"/>
      <c r="M1436" s="4"/>
      <c r="N1436" s="4"/>
      <c r="O1436" s="6"/>
    </row>
    <row r="1437" spans="2:15" s="46" customFormat="1">
      <c r="B1437" s="3"/>
      <c r="C1437" s="3"/>
      <c r="G1437" s="4"/>
      <c r="H1437" s="4"/>
      <c r="I1437" s="4"/>
      <c r="J1437" s="4"/>
      <c r="K1437" s="4"/>
      <c r="L1437" s="4"/>
      <c r="M1437" s="4"/>
      <c r="N1437" s="4"/>
      <c r="O1437" s="6"/>
    </row>
    <row r="1438" spans="2:15" s="46" customFormat="1">
      <c r="B1438" s="3"/>
      <c r="C1438" s="3"/>
      <c r="G1438" s="4"/>
      <c r="H1438" s="4"/>
      <c r="I1438" s="4"/>
      <c r="J1438" s="4"/>
      <c r="K1438" s="4"/>
      <c r="L1438" s="4"/>
      <c r="M1438" s="4"/>
      <c r="N1438" s="4"/>
      <c r="O1438" s="6"/>
    </row>
    <row r="1439" spans="2:15" s="46" customFormat="1">
      <c r="B1439" s="3"/>
      <c r="C1439" s="3"/>
      <c r="G1439" s="4"/>
      <c r="H1439" s="4"/>
      <c r="I1439" s="4"/>
      <c r="J1439" s="4"/>
      <c r="K1439" s="4"/>
      <c r="L1439" s="4"/>
      <c r="M1439" s="4"/>
      <c r="N1439" s="4"/>
      <c r="O1439" s="6"/>
    </row>
    <row r="1440" spans="2:15" s="46" customFormat="1">
      <c r="B1440" s="3"/>
      <c r="C1440" s="3"/>
      <c r="G1440" s="4"/>
      <c r="H1440" s="4"/>
      <c r="I1440" s="4"/>
      <c r="J1440" s="4"/>
      <c r="K1440" s="4"/>
      <c r="L1440" s="4"/>
      <c r="M1440" s="4"/>
      <c r="N1440" s="4"/>
      <c r="O1440" s="6"/>
    </row>
    <row r="1441" spans="2:15" s="46" customFormat="1">
      <c r="B1441" s="3"/>
      <c r="C1441" s="3"/>
      <c r="G1441" s="4"/>
      <c r="H1441" s="4"/>
      <c r="I1441" s="4"/>
      <c r="J1441" s="4"/>
      <c r="K1441" s="4"/>
      <c r="L1441" s="4"/>
      <c r="M1441" s="4"/>
      <c r="N1441" s="4"/>
      <c r="O1441" s="6"/>
    </row>
    <row r="1442" spans="2:15" s="46" customFormat="1">
      <c r="B1442" s="3"/>
      <c r="C1442" s="3"/>
      <c r="G1442" s="4"/>
      <c r="H1442" s="4"/>
      <c r="I1442" s="4"/>
      <c r="J1442" s="4"/>
      <c r="K1442" s="4"/>
      <c r="L1442" s="4"/>
      <c r="M1442" s="4"/>
      <c r="N1442" s="4"/>
      <c r="O1442" s="6"/>
    </row>
    <row r="1443" spans="2:15" s="46" customFormat="1">
      <c r="B1443" s="3"/>
      <c r="C1443" s="3"/>
      <c r="G1443" s="4"/>
      <c r="H1443" s="4"/>
      <c r="I1443" s="4"/>
      <c r="J1443" s="4"/>
      <c r="K1443" s="4"/>
      <c r="L1443" s="4"/>
      <c r="M1443" s="4"/>
      <c r="N1443" s="4"/>
      <c r="O1443" s="6"/>
    </row>
    <row r="1444" spans="2:15" s="46" customFormat="1">
      <c r="B1444" s="3"/>
      <c r="C1444" s="3"/>
      <c r="G1444" s="4"/>
      <c r="H1444" s="4"/>
      <c r="I1444" s="4"/>
      <c r="J1444" s="4"/>
      <c r="K1444" s="4"/>
      <c r="L1444" s="4"/>
      <c r="M1444" s="4"/>
      <c r="N1444" s="4"/>
      <c r="O1444" s="6"/>
    </row>
    <row r="1445" spans="2:15" s="46" customFormat="1">
      <c r="B1445" s="3"/>
      <c r="C1445" s="3"/>
      <c r="G1445" s="4"/>
      <c r="H1445" s="4"/>
      <c r="I1445" s="4"/>
      <c r="J1445" s="4"/>
      <c r="K1445" s="4"/>
      <c r="L1445" s="4"/>
      <c r="M1445" s="4"/>
      <c r="N1445" s="4"/>
      <c r="O1445" s="6"/>
    </row>
    <row r="1446" spans="2:15" s="46" customFormat="1">
      <c r="B1446" s="3"/>
      <c r="C1446" s="3"/>
      <c r="G1446" s="4"/>
      <c r="H1446" s="4"/>
      <c r="I1446" s="4"/>
      <c r="J1446" s="4"/>
      <c r="K1446" s="4"/>
      <c r="L1446" s="4"/>
      <c r="M1446" s="4"/>
      <c r="N1446" s="4"/>
      <c r="O1446" s="6"/>
    </row>
    <row r="1447" spans="2:15" s="46" customFormat="1">
      <c r="B1447" s="3"/>
      <c r="C1447" s="3"/>
      <c r="G1447" s="4"/>
      <c r="H1447" s="4"/>
      <c r="I1447" s="4"/>
      <c r="J1447" s="4"/>
      <c r="K1447" s="4"/>
      <c r="L1447" s="4"/>
      <c r="M1447" s="4"/>
      <c r="N1447" s="4"/>
      <c r="O1447" s="6"/>
    </row>
    <row r="1448" spans="2:15" s="46" customFormat="1">
      <c r="B1448" s="3"/>
      <c r="C1448" s="3"/>
      <c r="G1448" s="4"/>
      <c r="H1448" s="4"/>
      <c r="I1448" s="4"/>
      <c r="J1448" s="4"/>
      <c r="K1448" s="4"/>
      <c r="L1448" s="4"/>
      <c r="M1448" s="4"/>
      <c r="N1448" s="4"/>
      <c r="O1448" s="6"/>
    </row>
    <row r="1449" spans="2:15" s="46" customFormat="1">
      <c r="B1449" s="3"/>
      <c r="C1449" s="3"/>
      <c r="G1449" s="4"/>
      <c r="H1449" s="4"/>
      <c r="I1449" s="4"/>
      <c r="J1449" s="4"/>
      <c r="K1449" s="4"/>
      <c r="L1449" s="4"/>
      <c r="M1449" s="4"/>
      <c r="N1449" s="4"/>
      <c r="O1449" s="6"/>
    </row>
    <row r="1450" spans="2:15" s="46" customFormat="1">
      <c r="B1450" s="3"/>
      <c r="C1450" s="3"/>
      <c r="G1450" s="4"/>
      <c r="H1450" s="4"/>
      <c r="I1450" s="4"/>
      <c r="J1450" s="4"/>
      <c r="K1450" s="4"/>
      <c r="L1450" s="4"/>
      <c r="M1450" s="4"/>
      <c r="N1450" s="4"/>
      <c r="O1450" s="6"/>
    </row>
    <row r="1451" spans="2:15" s="46" customFormat="1">
      <c r="B1451" s="3"/>
      <c r="C1451" s="3"/>
      <c r="G1451" s="4"/>
      <c r="H1451" s="4"/>
      <c r="I1451" s="4"/>
      <c r="J1451" s="4"/>
      <c r="K1451" s="4"/>
      <c r="L1451" s="4"/>
      <c r="M1451" s="4"/>
      <c r="N1451" s="4"/>
      <c r="O1451" s="6"/>
    </row>
    <row r="1452" spans="2:15" s="46" customFormat="1">
      <c r="B1452" s="3"/>
      <c r="C1452" s="3"/>
      <c r="G1452" s="4"/>
      <c r="H1452" s="4"/>
      <c r="I1452" s="4"/>
      <c r="J1452" s="4"/>
      <c r="K1452" s="4"/>
      <c r="L1452" s="4"/>
      <c r="M1452" s="4"/>
      <c r="N1452" s="4"/>
      <c r="O1452" s="6"/>
    </row>
    <row r="1453" spans="2:15" s="46" customFormat="1">
      <c r="B1453" s="3"/>
      <c r="C1453" s="3"/>
      <c r="G1453" s="4"/>
      <c r="H1453" s="4"/>
      <c r="I1453" s="4"/>
      <c r="J1453" s="4"/>
      <c r="K1453" s="4"/>
      <c r="L1453" s="4"/>
      <c r="M1453" s="4"/>
      <c r="N1453" s="4"/>
      <c r="O1453" s="6"/>
    </row>
    <row r="1454" spans="2:15" s="46" customFormat="1">
      <c r="B1454" s="3"/>
      <c r="C1454" s="3"/>
      <c r="G1454" s="4"/>
      <c r="H1454" s="4"/>
      <c r="I1454" s="4"/>
      <c r="J1454" s="4"/>
      <c r="K1454" s="4"/>
      <c r="L1454" s="4"/>
      <c r="M1454" s="4"/>
      <c r="N1454" s="4"/>
      <c r="O1454" s="6"/>
    </row>
    <row r="1455" spans="2:15" s="46" customFormat="1">
      <c r="B1455" s="3"/>
      <c r="C1455" s="3"/>
      <c r="G1455" s="4"/>
      <c r="H1455" s="4"/>
      <c r="I1455" s="4"/>
      <c r="J1455" s="4"/>
      <c r="K1455" s="4"/>
      <c r="L1455" s="4"/>
      <c r="M1455" s="4"/>
      <c r="N1455" s="4"/>
      <c r="O1455" s="6"/>
    </row>
    <row r="1456" spans="2:15" s="46" customFormat="1">
      <c r="B1456" s="3"/>
      <c r="C1456" s="3"/>
      <c r="G1456" s="4"/>
      <c r="H1456" s="4"/>
      <c r="I1456" s="4"/>
      <c r="J1456" s="4"/>
      <c r="K1456" s="4"/>
      <c r="L1456" s="4"/>
      <c r="M1456" s="4"/>
      <c r="N1456" s="4"/>
      <c r="O1456" s="6"/>
    </row>
    <row r="1457" spans="2:15" s="46" customFormat="1">
      <c r="B1457" s="3"/>
      <c r="C1457" s="3"/>
      <c r="G1457" s="4"/>
      <c r="H1457" s="4"/>
      <c r="I1457" s="4"/>
      <c r="J1457" s="4"/>
      <c r="K1457" s="4"/>
      <c r="L1457" s="4"/>
      <c r="M1457" s="4"/>
      <c r="N1457" s="4"/>
      <c r="O1457" s="6"/>
    </row>
    <row r="1458" spans="2:15" s="46" customFormat="1">
      <c r="B1458" s="3"/>
      <c r="C1458" s="3"/>
      <c r="G1458" s="4"/>
      <c r="H1458" s="4"/>
      <c r="I1458" s="4"/>
      <c r="J1458" s="4"/>
      <c r="K1458" s="4"/>
      <c r="L1458" s="4"/>
      <c r="M1458" s="4"/>
      <c r="N1458" s="4"/>
      <c r="O1458" s="6"/>
    </row>
    <row r="1459" spans="2:15" s="46" customFormat="1">
      <c r="B1459" s="3"/>
      <c r="C1459" s="3"/>
      <c r="G1459" s="4"/>
      <c r="H1459" s="4"/>
      <c r="I1459" s="4"/>
      <c r="J1459" s="4"/>
      <c r="K1459" s="4"/>
      <c r="L1459" s="4"/>
      <c r="M1459" s="4"/>
      <c r="N1459" s="4"/>
      <c r="O1459" s="6"/>
    </row>
    <row r="1460" spans="2:15" s="46" customFormat="1">
      <c r="B1460" s="3"/>
      <c r="C1460" s="3"/>
      <c r="G1460" s="4"/>
      <c r="H1460" s="4"/>
      <c r="I1460" s="4"/>
      <c r="J1460" s="4"/>
      <c r="K1460" s="4"/>
      <c r="L1460" s="4"/>
      <c r="M1460" s="4"/>
      <c r="N1460" s="4"/>
      <c r="O1460" s="6"/>
    </row>
    <row r="1461" spans="2:15" s="46" customFormat="1">
      <c r="B1461" s="3"/>
      <c r="C1461" s="3"/>
      <c r="G1461" s="4"/>
      <c r="H1461" s="4"/>
      <c r="I1461" s="4"/>
      <c r="J1461" s="4"/>
      <c r="K1461" s="4"/>
      <c r="L1461" s="4"/>
      <c r="M1461" s="4"/>
      <c r="N1461" s="4"/>
      <c r="O1461" s="6"/>
    </row>
    <row r="1462" spans="2:15" s="46" customFormat="1">
      <c r="B1462" s="3"/>
      <c r="C1462" s="3"/>
      <c r="G1462" s="4"/>
      <c r="H1462" s="4"/>
      <c r="I1462" s="4"/>
      <c r="J1462" s="4"/>
      <c r="K1462" s="4"/>
      <c r="L1462" s="4"/>
      <c r="M1462" s="4"/>
      <c r="N1462" s="4"/>
      <c r="O1462" s="6"/>
    </row>
    <row r="1463" spans="2:15" s="46" customFormat="1">
      <c r="B1463" s="3"/>
      <c r="C1463" s="3"/>
      <c r="G1463" s="4"/>
      <c r="H1463" s="4"/>
      <c r="I1463" s="4"/>
      <c r="J1463" s="4"/>
      <c r="K1463" s="4"/>
      <c r="L1463" s="4"/>
      <c r="M1463" s="4"/>
      <c r="N1463" s="4"/>
      <c r="O1463" s="6"/>
    </row>
    <row r="1464" spans="2:15" s="46" customFormat="1">
      <c r="B1464" s="3"/>
      <c r="C1464" s="3"/>
      <c r="G1464" s="4"/>
      <c r="H1464" s="4"/>
      <c r="I1464" s="4"/>
      <c r="J1464" s="4"/>
      <c r="K1464" s="4"/>
      <c r="L1464" s="4"/>
      <c r="M1464" s="4"/>
      <c r="N1464" s="4"/>
      <c r="O1464" s="6"/>
    </row>
    <row r="1465" spans="2:15" s="46" customFormat="1">
      <c r="B1465" s="3"/>
      <c r="C1465" s="3"/>
      <c r="G1465" s="4"/>
      <c r="H1465" s="4"/>
      <c r="I1465" s="4"/>
      <c r="J1465" s="4"/>
      <c r="K1465" s="4"/>
      <c r="L1465" s="4"/>
      <c r="M1465" s="4"/>
      <c r="N1465" s="4"/>
      <c r="O1465" s="6"/>
    </row>
    <row r="1466" spans="2:15" s="46" customFormat="1">
      <c r="B1466" s="3"/>
      <c r="C1466" s="3"/>
      <c r="G1466" s="4"/>
      <c r="H1466" s="4"/>
      <c r="I1466" s="4"/>
      <c r="J1466" s="4"/>
      <c r="K1466" s="4"/>
      <c r="L1466" s="4"/>
      <c r="M1466" s="4"/>
      <c r="N1466" s="4"/>
      <c r="O1466" s="6"/>
    </row>
    <row r="1467" spans="2:15" s="46" customFormat="1">
      <c r="B1467" s="3"/>
      <c r="C1467" s="3"/>
      <c r="G1467" s="4"/>
      <c r="H1467" s="4"/>
      <c r="I1467" s="4"/>
      <c r="J1467" s="4"/>
      <c r="K1467" s="4"/>
      <c r="L1467" s="4"/>
      <c r="M1467" s="4"/>
      <c r="N1467" s="4"/>
      <c r="O1467" s="6"/>
    </row>
    <row r="1468" spans="2:15" s="46" customFormat="1">
      <c r="B1468" s="3"/>
      <c r="C1468" s="3"/>
      <c r="G1468" s="4"/>
      <c r="H1468" s="4"/>
      <c r="I1468" s="4"/>
      <c r="J1468" s="4"/>
      <c r="K1468" s="4"/>
      <c r="L1468" s="4"/>
      <c r="M1468" s="4"/>
      <c r="N1468" s="4"/>
      <c r="O1468" s="6"/>
    </row>
    <row r="1469" spans="2:15" s="46" customFormat="1">
      <c r="B1469" s="3"/>
      <c r="C1469" s="3"/>
      <c r="G1469" s="4"/>
      <c r="H1469" s="4"/>
      <c r="I1469" s="4"/>
      <c r="J1469" s="4"/>
      <c r="K1469" s="4"/>
      <c r="L1469" s="4"/>
      <c r="M1469" s="4"/>
      <c r="N1469" s="4"/>
      <c r="O1469" s="6"/>
    </row>
    <row r="1470" spans="2:15" s="46" customFormat="1">
      <c r="B1470" s="3"/>
      <c r="C1470" s="3"/>
      <c r="G1470" s="4"/>
      <c r="H1470" s="4"/>
      <c r="I1470" s="4"/>
      <c r="J1470" s="4"/>
      <c r="K1470" s="4"/>
      <c r="L1470" s="4"/>
      <c r="M1470" s="4"/>
      <c r="N1470" s="4"/>
      <c r="O1470" s="6"/>
    </row>
    <row r="1471" spans="2:15" s="46" customFormat="1">
      <c r="B1471" s="3"/>
      <c r="C1471" s="3"/>
      <c r="G1471" s="4"/>
      <c r="H1471" s="4"/>
      <c r="I1471" s="4"/>
      <c r="J1471" s="4"/>
      <c r="K1471" s="4"/>
      <c r="L1471" s="4"/>
      <c r="M1471" s="4"/>
      <c r="N1471" s="4"/>
      <c r="O1471" s="6"/>
    </row>
    <row r="1472" spans="2:15" s="46" customFormat="1">
      <c r="B1472" s="3"/>
      <c r="C1472" s="3"/>
      <c r="G1472" s="4"/>
      <c r="H1472" s="4"/>
      <c r="I1472" s="4"/>
      <c r="J1472" s="4"/>
      <c r="K1472" s="4"/>
      <c r="L1472" s="4"/>
      <c r="M1472" s="4"/>
      <c r="N1472" s="4"/>
      <c r="O1472" s="6"/>
    </row>
    <row r="1473" spans="2:15" s="46" customFormat="1">
      <c r="B1473" s="3"/>
      <c r="C1473" s="3"/>
      <c r="G1473" s="4"/>
      <c r="H1473" s="4"/>
      <c r="I1473" s="4"/>
      <c r="J1473" s="4"/>
      <c r="K1473" s="4"/>
      <c r="L1473" s="4"/>
      <c r="M1473" s="4"/>
      <c r="N1473" s="4"/>
      <c r="O1473" s="6"/>
    </row>
    <row r="1474" spans="2:15" s="46" customFormat="1">
      <c r="B1474" s="3"/>
      <c r="C1474" s="3"/>
      <c r="G1474" s="4"/>
      <c r="H1474" s="4"/>
      <c r="I1474" s="4"/>
      <c r="J1474" s="4"/>
      <c r="K1474" s="4"/>
      <c r="L1474" s="4"/>
      <c r="M1474" s="4"/>
      <c r="N1474" s="4"/>
      <c r="O1474" s="6"/>
    </row>
    <row r="1475" spans="2:15" s="46" customFormat="1">
      <c r="B1475" s="3"/>
      <c r="C1475" s="3"/>
      <c r="G1475" s="4"/>
      <c r="H1475" s="4"/>
      <c r="I1475" s="4"/>
      <c r="J1475" s="4"/>
      <c r="K1475" s="4"/>
      <c r="L1475" s="4"/>
      <c r="M1475" s="4"/>
      <c r="N1475" s="4"/>
      <c r="O1475" s="6"/>
    </row>
    <row r="1476" spans="2:15" s="46" customFormat="1">
      <c r="B1476" s="3"/>
      <c r="C1476" s="3"/>
      <c r="G1476" s="4"/>
      <c r="H1476" s="4"/>
      <c r="I1476" s="4"/>
      <c r="J1476" s="4"/>
      <c r="K1476" s="4"/>
      <c r="L1476" s="4"/>
      <c r="M1476" s="4"/>
      <c r="N1476" s="4"/>
      <c r="O1476" s="6"/>
    </row>
    <row r="1477" spans="2:15" s="46" customFormat="1">
      <c r="B1477" s="3"/>
      <c r="C1477" s="3"/>
      <c r="G1477" s="4"/>
      <c r="H1477" s="4"/>
      <c r="I1477" s="4"/>
      <c r="J1477" s="4"/>
      <c r="K1477" s="4"/>
      <c r="L1477" s="4"/>
      <c r="M1477" s="4"/>
      <c r="N1477" s="4"/>
      <c r="O1477" s="6"/>
    </row>
    <row r="1478" spans="2:15" s="46" customFormat="1">
      <c r="B1478" s="3"/>
      <c r="C1478" s="3"/>
      <c r="G1478" s="4"/>
      <c r="H1478" s="4"/>
      <c r="I1478" s="4"/>
      <c r="J1478" s="4"/>
      <c r="K1478" s="4"/>
      <c r="L1478" s="4"/>
      <c r="M1478" s="4"/>
      <c r="N1478" s="4"/>
      <c r="O1478" s="6"/>
    </row>
    <row r="1479" spans="2:15" s="46" customFormat="1">
      <c r="B1479" s="3"/>
      <c r="C1479" s="3"/>
      <c r="G1479" s="4"/>
      <c r="H1479" s="4"/>
      <c r="I1479" s="4"/>
      <c r="J1479" s="4"/>
      <c r="K1479" s="4"/>
      <c r="L1479" s="4"/>
      <c r="M1479" s="4"/>
      <c r="N1479" s="4"/>
      <c r="O1479" s="6"/>
    </row>
    <row r="1480" spans="2:15" s="46" customFormat="1">
      <c r="B1480" s="3"/>
      <c r="C1480" s="3"/>
      <c r="G1480" s="4"/>
      <c r="H1480" s="4"/>
      <c r="I1480" s="4"/>
      <c r="J1480" s="4"/>
      <c r="K1480" s="4"/>
      <c r="L1480" s="4"/>
      <c r="M1480" s="4"/>
      <c r="N1480" s="4"/>
      <c r="O1480" s="6"/>
    </row>
    <row r="1481" spans="2:15" s="46" customFormat="1">
      <c r="B1481" s="3"/>
      <c r="C1481" s="3"/>
      <c r="G1481" s="4"/>
      <c r="H1481" s="4"/>
      <c r="I1481" s="4"/>
      <c r="J1481" s="4"/>
      <c r="K1481" s="4"/>
      <c r="L1481" s="4"/>
      <c r="M1481" s="4"/>
      <c r="N1481" s="4"/>
      <c r="O1481" s="6"/>
    </row>
    <row r="1482" spans="2:15" s="46" customFormat="1">
      <c r="B1482" s="3"/>
      <c r="C1482" s="3"/>
      <c r="G1482" s="4"/>
      <c r="H1482" s="4"/>
      <c r="I1482" s="4"/>
      <c r="J1482" s="4"/>
      <c r="K1482" s="4"/>
      <c r="L1482" s="4"/>
      <c r="M1482" s="4"/>
      <c r="N1482" s="4"/>
      <c r="O1482" s="6"/>
    </row>
    <row r="1483" spans="2:15" s="46" customFormat="1">
      <c r="B1483" s="3"/>
      <c r="C1483" s="3"/>
      <c r="G1483" s="4"/>
      <c r="H1483" s="4"/>
      <c r="I1483" s="4"/>
      <c r="J1483" s="4"/>
      <c r="K1483" s="4"/>
      <c r="L1483" s="4"/>
      <c r="M1483" s="4"/>
      <c r="N1483" s="4"/>
      <c r="O1483" s="6"/>
    </row>
    <row r="1484" spans="2:15" s="46" customFormat="1">
      <c r="B1484" s="3"/>
      <c r="C1484" s="3"/>
      <c r="G1484" s="4"/>
      <c r="H1484" s="4"/>
      <c r="I1484" s="4"/>
      <c r="J1484" s="4"/>
      <c r="K1484" s="4"/>
      <c r="L1484" s="4"/>
      <c r="M1484" s="4"/>
      <c r="N1484" s="4"/>
      <c r="O1484" s="6"/>
    </row>
    <row r="1485" spans="2:15" s="46" customFormat="1">
      <c r="B1485" s="3"/>
      <c r="C1485" s="3"/>
      <c r="G1485" s="4"/>
      <c r="H1485" s="4"/>
      <c r="I1485" s="4"/>
      <c r="J1485" s="4"/>
      <c r="K1485" s="4"/>
      <c r="L1485" s="4"/>
      <c r="M1485" s="4"/>
      <c r="N1485" s="4"/>
      <c r="O1485" s="6"/>
    </row>
    <row r="1486" spans="2:15" s="46" customFormat="1">
      <c r="B1486" s="3"/>
      <c r="C1486" s="3"/>
      <c r="G1486" s="4"/>
      <c r="H1486" s="4"/>
      <c r="I1486" s="4"/>
      <c r="J1486" s="4"/>
      <c r="K1486" s="4"/>
      <c r="L1486" s="4"/>
      <c r="M1486" s="4"/>
      <c r="N1486" s="4"/>
      <c r="O1486" s="6"/>
    </row>
    <row r="1487" spans="2:15" s="46" customFormat="1">
      <c r="B1487" s="3"/>
      <c r="C1487" s="3"/>
      <c r="G1487" s="4"/>
      <c r="H1487" s="4"/>
      <c r="I1487" s="4"/>
      <c r="J1487" s="4"/>
      <c r="K1487" s="4"/>
      <c r="L1487" s="4"/>
      <c r="M1487" s="4"/>
      <c r="N1487" s="4"/>
      <c r="O1487" s="6"/>
    </row>
    <row r="1488" spans="2:15" s="46" customFormat="1">
      <c r="B1488" s="3"/>
      <c r="C1488" s="3"/>
      <c r="G1488" s="4"/>
      <c r="H1488" s="4"/>
      <c r="I1488" s="4"/>
      <c r="J1488" s="4"/>
      <c r="K1488" s="4"/>
      <c r="L1488" s="4"/>
      <c r="M1488" s="4"/>
      <c r="N1488" s="4"/>
      <c r="O1488" s="6"/>
    </row>
    <row r="1489" spans="2:15" s="46" customFormat="1">
      <c r="B1489" s="3"/>
      <c r="C1489" s="3"/>
      <c r="G1489" s="4"/>
      <c r="H1489" s="4"/>
      <c r="I1489" s="4"/>
      <c r="J1489" s="4"/>
      <c r="K1489" s="4"/>
      <c r="L1489" s="4"/>
      <c r="M1489" s="4"/>
      <c r="N1489" s="4"/>
      <c r="O1489" s="6"/>
    </row>
    <row r="1490" spans="2:15" s="46" customFormat="1">
      <c r="B1490" s="3"/>
      <c r="C1490" s="3"/>
      <c r="G1490" s="4"/>
      <c r="H1490" s="4"/>
      <c r="I1490" s="4"/>
      <c r="J1490" s="4"/>
      <c r="K1490" s="4"/>
      <c r="L1490" s="4"/>
      <c r="M1490" s="4"/>
      <c r="N1490" s="4"/>
      <c r="O1490" s="6"/>
    </row>
    <row r="1491" spans="2:15" s="46" customFormat="1">
      <c r="B1491" s="3"/>
      <c r="C1491" s="3"/>
      <c r="G1491" s="4"/>
      <c r="H1491" s="4"/>
      <c r="I1491" s="4"/>
      <c r="J1491" s="4"/>
      <c r="K1491" s="4"/>
      <c r="L1491" s="4"/>
      <c r="M1491" s="4"/>
      <c r="N1491" s="4"/>
      <c r="O1491" s="6"/>
    </row>
    <row r="1492" spans="2:15" s="46" customFormat="1">
      <c r="B1492" s="3"/>
      <c r="C1492" s="3"/>
      <c r="G1492" s="4"/>
      <c r="H1492" s="4"/>
      <c r="I1492" s="4"/>
      <c r="J1492" s="4"/>
      <c r="K1492" s="4"/>
      <c r="L1492" s="4"/>
      <c r="M1492" s="4"/>
      <c r="N1492" s="4"/>
      <c r="O1492" s="6"/>
    </row>
    <row r="1493" spans="2:15" s="46" customFormat="1">
      <c r="B1493" s="3"/>
      <c r="C1493" s="3"/>
      <c r="G1493" s="4"/>
      <c r="H1493" s="4"/>
      <c r="I1493" s="4"/>
      <c r="J1493" s="4"/>
      <c r="K1493" s="4"/>
      <c r="L1493" s="4"/>
      <c r="M1493" s="4"/>
      <c r="N1493" s="4"/>
      <c r="O1493" s="6"/>
    </row>
    <row r="1494" spans="2:15" s="46" customFormat="1">
      <c r="B1494" s="3"/>
      <c r="C1494" s="3"/>
      <c r="G1494" s="4"/>
      <c r="H1494" s="4"/>
      <c r="I1494" s="4"/>
      <c r="J1494" s="4"/>
      <c r="K1494" s="4"/>
      <c r="L1494" s="4"/>
      <c r="M1494" s="4"/>
      <c r="N1494" s="4"/>
      <c r="O1494" s="6"/>
    </row>
    <row r="1495" spans="2:15" s="46" customFormat="1">
      <c r="B1495" s="3"/>
      <c r="C1495" s="3"/>
      <c r="G1495" s="4"/>
      <c r="H1495" s="4"/>
      <c r="I1495" s="4"/>
      <c r="J1495" s="4"/>
      <c r="K1495" s="4"/>
      <c r="L1495" s="4"/>
      <c r="M1495" s="4"/>
      <c r="N1495" s="4"/>
      <c r="O1495" s="6"/>
    </row>
    <row r="1496" spans="2:15" s="46" customFormat="1">
      <c r="B1496" s="3"/>
      <c r="C1496" s="3"/>
      <c r="G1496" s="4"/>
      <c r="H1496" s="4"/>
      <c r="I1496" s="4"/>
      <c r="J1496" s="4"/>
      <c r="K1496" s="4"/>
      <c r="L1496" s="4"/>
      <c r="M1496" s="4"/>
      <c r="N1496" s="4"/>
      <c r="O1496" s="6"/>
    </row>
    <row r="1497" spans="2:15" s="46" customFormat="1">
      <c r="B1497" s="3"/>
      <c r="C1497" s="3"/>
      <c r="G1497" s="4"/>
      <c r="H1497" s="4"/>
      <c r="I1497" s="4"/>
      <c r="J1497" s="4"/>
      <c r="K1497" s="4"/>
      <c r="L1497" s="4"/>
      <c r="M1497" s="4"/>
      <c r="N1497" s="4"/>
      <c r="O1497" s="6"/>
    </row>
    <row r="1498" spans="2:15" s="46" customFormat="1">
      <c r="B1498" s="3"/>
      <c r="C1498" s="3"/>
      <c r="G1498" s="4"/>
      <c r="H1498" s="4"/>
      <c r="I1498" s="4"/>
      <c r="J1498" s="4"/>
      <c r="K1498" s="4"/>
      <c r="L1498" s="4"/>
      <c r="M1498" s="4"/>
      <c r="N1498" s="4"/>
      <c r="O1498" s="6"/>
    </row>
    <row r="1499" spans="2:15" s="46" customFormat="1">
      <c r="B1499" s="3"/>
      <c r="C1499" s="3"/>
      <c r="G1499" s="4"/>
      <c r="H1499" s="4"/>
      <c r="I1499" s="4"/>
      <c r="J1499" s="4"/>
      <c r="K1499" s="4"/>
      <c r="L1499" s="4"/>
      <c r="M1499" s="4"/>
      <c r="N1499" s="4"/>
      <c r="O1499" s="6"/>
    </row>
    <row r="1500" spans="2:15" s="46" customFormat="1">
      <c r="B1500" s="3"/>
      <c r="C1500" s="3"/>
      <c r="G1500" s="4"/>
      <c r="H1500" s="4"/>
      <c r="I1500" s="4"/>
      <c r="J1500" s="4"/>
      <c r="K1500" s="4"/>
      <c r="L1500" s="4"/>
      <c r="M1500" s="4"/>
      <c r="N1500" s="4"/>
      <c r="O1500" s="6"/>
    </row>
    <row r="1501" spans="2:15" s="46" customFormat="1">
      <c r="B1501" s="3"/>
      <c r="C1501" s="3"/>
      <c r="G1501" s="4"/>
      <c r="H1501" s="4"/>
      <c r="I1501" s="4"/>
      <c r="J1501" s="4"/>
      <c r="K1501" s="4"/>
      <c r="L1501" s="4"/>
      <c r="M1501" s="4"/>
      <c r="N1501" s="4"/>
      <c r="O1501" s="6"/>
    </row>
    <row r="1502" spans="2:15" s="46" customFormat="1">
      <c r="B1502" s="3"/>
      <c r="C1502" s="3"/>
      <c r="G1502" s="4"/>
      <c r="H1502" s="4"/>
      <c r="I1502" s="4"/>
      <c r="J1502" s="4"/>
      <c r="K1502" s="4"/>
      <c r="L1502" s="4"/>
      <c r="M1502" s="4"/>
      <c r="N1502" s="4"/>
      <c r="O1502" s="6"/>
    </row>
    <row r="1503" spans="2:15" s="46" customFormat="1">
      <c r="B1503" s="3"/>
      <c r="C1503" s="3"/>
      <c r="G1503" s="4"/>
      <c r="H1503" s="4"/>
      <c r="I1503" s="4"/>
      <c r="J1503" s="4"/>
      <c r="K1503" s="4"/>
      <c r="L1503" s="4"/>
      <c r="M1503" s="4"/>
      <c r="N1503" s="4"/>
      <c r="O1503" s="6"/>
    </row>
    <row r="1504" spans="2:15" s="46" customFormat="1">
      <c r="B1504" s="3"/>
      <c r="C1504" s="3"/>
      <c r="G1504" s="4"/>
      <c r="H1504" s="4"/>
      <c r="I1504" s="4"/>
      <c r="J1504" s="4"/>
      <c r="K1504" s="4"/>
      <c r="L1504" s="4"/>
      <c r="M1504" s="4"/>
      <c r="N1504" s="4"/>
      <c r="O1504" s="6"/>
    </row>
    <row r="1505" spans="2:15" s="46" customFormat="1">
      <c r="B1505" s="3"/>
      <c r="C1505" s="3"/>
      <c r="G1505" s="4"/>
      <c r="H1505" s="4"/>
      <c r="I1505" s="4"/>
      <c r="J1505" s="4"/>
      <c r="K1505" s="4"/>
      <c r="L1505" s="4"/>
      <c r="M1505" s="4"/>
      <c r="N1505" s="4"/>
      <c r="O1505" s="6"/>
    </row>
    <row r="1506" spans="2:15" s="46" customFormat="1">
      <c r="B1506" s="3"/>
      <c r="C1506" s="3"/>
      <c r="G1506" s="4"/>
      <c r="H1506" s="4"/>
      <c r="I1506" s="4"/>
      <c r="J1506" s="4"/>
      <c r="K1506" s="4"/>
      <c r="L1506" s="4"/>
      <c r="M1506" s="4"/>
      <c r="N1506" s="4"/>
      <c r="O1506" s="6"/>
    </row>
    <row r="1507" spans="2:15" s="46" customFormat="1">
      <c r="B1507" s="3"/>
      <c r="C1507" s="3"/>
      <c r="G1507" s="4"/>
      <c r="H1507" s="4"/>
      <c r="I1507" s="4"/>
      <c r="J1507" s="4"/>
      <c r="K1507" s="4"/>
      <c r="L1507" s="4"/>
      <c r="M1507" s="4"/>
      <c r="N1507" s="4"/>
      <c r="O1507" s="6"/>
    </row>
    <row r="1508" spans="2:15" s="46" customFormat="1">
      <c r="B1508" s="3"/>
      <c r="C1508" s="3"/>
      <c r="G1508" s="4"/>
      <c r="H1508" s="4"/>
      <c r="I1508" s="4"/>
      <c r="J1508" s="4"/>
      <c r="K1508" s="4"/>
      <c r="L1508" s="4"/>
      <c r="M1508" s="4"/>
      <c r="N1508" s="4"/>
      <c r="O1508" s="6"/>
    </row>
    <row r="1509" spans="2:15" s="46" customFormat="1">
      <c r="B1509" s="3"/>
      <c r="C1509" s="3"/>
      <c r="G1509" s="4"/>
      <c r="H1509" s="4"/>
      <c r="I1509" s="4"/>
      <c r="J1509" s="4"/>
      <c r="K1509" s="4"/>
      <c r="L1509" s="4"/>
      <c r="M1509" s="4"/>
      <c r="N1509" s="4"/>
      <c r="O1509" s="6"/>
    </row>
    <row r="1510" spans="2:15" s="46" customFormat="1">
      <c r="B1510" s="3"/>
      <c r="C1510" s="3"/>
      <c r="G1510" s="4"/>
      <c r="H1510" s="4"/>
      <c r="I1510" s="4"/>
      <c r="J1510" s="4"/>
      <c r="K1510" s="4"/>
      <c r="L1510" s="4"/>
      <c r="M1510" s="4"/>
      <c r="N1510" s="4"/>
      <c r="O1510" s="6"/>
    </row>
    <row r="1511" spans="2:15" s="46" customFormat="1">
      <c r="B1511" s="3"/>
      <c r="C1511" s="3"/>
      <c r="G1511" s="4"/>
      <c r="H1511" s="4"/>
      <c r="I1511" s="4"/>
      <c r="J1511" s="4"/>
      <c r="K1511" s="4"/>
      <c r="L1511" s="4"/>
      <c r="M1511" s="4"/>
      <c r="N1511" s="4"/>
      <c r="O1511" s="6"/>
    </row>
    <row r="1512" spans="2:15" s="46" customFormat="1">
      <c r="B1512" s="3"/>
      <c r="C1512" s="3"/>
      <c r="G1512" s="4"/>
      <c r="H1512" s="4"/>
      <c r="I1512" s="4"/>
      <c r="J1512" s="4"/>
      <c r="K1512" s="4"/>
      <c r="L1512" s="4"/>
      <c r="M1512" s="4"/>
      <c r="N1512" s="4"/>
      <c r="O1512" s="6"/>
    </row>
    <row r="1513" spans="2:15" s="46" customFormat="1">
      <c r="B1513" s="3"/>
      <c r="C1513" s="3"/>
      <c r="G1513" s="4"/>
      <c r="H1513" s="4"/>
      <c r="I1513" s="4"/>
      <c r="J1513" s="4"/>
      <c r="K1513" s="4"/>
      <c r="L1513" s="4"/>
      <c r="M1513" s="4"/>
      <c r="N1513" s="4"/>
      <c r="O1513" s="6"/>
    </row>
    <row r="1514" spans="2:15" s="46" customFormat="1">
      <c r="B1514" s="3"/>
      <c r="C1514" s="3"/>
      <c r="G1514" s="4"/>
      <c r="H1514" s="4"/>
      <c r="I1514" s="4"/>
      <c r="J1514" s="4"/>
      <c r="K1514" s="4"/>
      <c r="L1514" s="4"/>
      <c r="M1514" s="4"/>
      <c r="N1514" s="4"/>
      <c r="O1514" s="6"/>
    </row>
    <row r="1515" spans="2:15" s="46" customFormat="1">
      <c r="B1515" s="3"/>
      <c r="C1515" s="3"/>
      <c r="G1515" s="4"/>
      <c r="H1515" s="4"/>
      <c r="I1515" s="4"/>
      <c r="J1515" s="4"/>
      <c r="K1515" s="4"/>
      <c r="L1515" s="4"/>
      <c r="M1515" s="4"/>
      <c r="N1515" s="4"/>
      <c r="O1515" s="6"/>
    </row>
    <row r="1516" spans="2:15" s="46" customFormat="1">
      <c r="B1516" s="3"/>
      <c r="C1516" s="3"/>
      <c r="G1516" s="4"/>
      <c r="H1516" s="4"/>
      <c r="I1516" s="4"/>
      <c r="J1516" s="4"/>
      <c r="K1516" s="4"/>
      <c r="L1516" s="4"/>
      <c r="M1516" s="4"/>
      <c r="N1516" s="4"/>
      <c r="O1516" s="6"/>
    </row>
    <row r="1517" spans="2:15" s="46" customFormat="1">
      <c r="B1517" s="3"/>
      <c r="C1517" s="3"/>
      <c r="G1517" s="4"/>
      <c r="H1517" s="4"/>
      <c r="I1517" s="4"/>
      <c r="J1517" s="4"/>
      <c r="K1517" s="4"/>
      <c r="L1517" s="4"/>
      <c r="M1517" s="4"/>
      <c r="N1517" s="4"/>
      <c r="O1517" s="6"/>
    </row>
    <row r="1518" spans="2:15" s="46" customFormat="1">
      <c r="B1518" s="3"/>
      <c r="C1518" s="3"/>
      <c r="G1518" s="4"/>
      <c r="H1518" s="4"/>
      <c r="I1518" s="4"/>
      <c r="J1518" s="4"/>
      <c r="K1518" s="4"/>
      <c r="L1518" s="4"/>
      <c r="M1518" s="4"/>
      <c r="N1518" s="4"/>
      <c r="O1518" s="6"/>
    </row>
    <row r="1519" spans="2:15" s="46" customFormat="1">
      <c r="B1519" s="3"/>
      <c r="C1519" s="3"/>
      <c r="G1519" s="4"/>
      <c r="H1519" s="4"/>
      <c r="I1519" s="4"/>
      <c r="J1519" s="4"/>
      <c r="K1519" s="4"/>
      <c r="L1519" s="4"/>
      <c r="M1519" s="4"/>
      <c r="N1519" s="4"/>
      <c r="O1519" s="6"/>
    </row>
    <row r="1520" spans="2:15" s="46" customFormat="1">
      <c r="B1520" s="3"/>
      <c r="C1520" s="3"/>
      <c r="G1520" s="4"/>
      <c r="H1520" s="4"/>
      <c r="I1520" s="4"/>
      <c r="J1520" s="4"/>
      <c r="K1520" s="4"/>
      <c r="L1520" s="4"/>
      <c r="M1520" s="4"/>
      <c r="N1520" s="4"/>
      <c r="O1520" s="6"/>
    </row>
    <row r="1521" spans="2:15" s="46" customFormat="1">
      <c r="B1521" s="3"/>
      <c r="C1521" s="3"/>
      <c r="G1521" s="4"/>
      <c r="H1521" s="4"/>
      <c r="I1521" s="4"/>
      <c r="J1521" s="4"/>
      <c r="K1521" s="4"/>
      <c r="L1521" s="4"/>
      <c r="M1521" s="4"/>
      <c r="N1521" s="4"/>
      <c r="O1521" s="6"/>
    </row>
    <row r="1522" spans="2:15" s="46" customFormat="1">
      <c r="B1522" s="3"/>
      <c r="C1522" s="3"/>
      <c r="G1522" s="4"/>
      <c r="H1522" s="4"/>
      <c r="I1522" s="4"/>
      <c r="J1522" s="4"/>
      <c r="K1522" s="4"/>
      <c r="L1522" s="4"/>
      <c r="M1522" s="4"/>
      <c r="N1522" s="4"/>
      <c r="O1522" s="6"/>
    </row>
    <row r="1523" spans="2:15" s="46" customFormat="1">
      <c r="B1523" s="3"/>
      <c r="C1523" s="3"/>
      <c r="G1523" s="4"/>
      <c r="H1523" s="4"/>
      <c r="I1523" s="4"/>
      <c r="J1523" s="4"/>
      <c r="K1523" s="4"/>
      <c r="L1523" s="4"/>
      <c r="M1523" s="4"/>
      <c r="N1523" s="4"/>
      <c r="O1523" s="6"/>
    </row>
    <row r="1524" spans="2:15" s="46" customFormat="1">
      <c r="B1524" s="3"/>
      <c r="C1524" s="3"/>
      <c r="G1524" s="4"/>
      <c r="H1524" s="4"/>
      <c r="I1524" s="4"/>
      <c r="J1524" s="4"/>
      <c r="K1524" s="4"/>
      <c r="L1524" s="4"/>
      <c r="M1524" s="4"/>
      <c r="N1524" s="4"/>
      <c r="O1524" s="6"/>
    </row>
    <row r="1525" spans="2:15" s="46" customFormat="1">
      <c r="B1525" s="3"/>
      <c r="C1525" s="3"/>
      <c r="G1525" s="4"/>
      <c r="H1525" s="4"/>
      <c r="I1525" s="4"/>
      <c r="J1525" s="4"/>
      <c r="K1525" s="4"/>
      <c r="L1525" s="4"/>
      <c r="M1525" s="4"/>
      <c r="N1525" s="4"/>
      <c r="O1525" s="6"/>
    </row>
    <row r="1526" spans="2:15" s="46" customFormat="1">
      <c r="B1526" s="3"/>
      <c r="C1526" s="3"/>
      <c r="G1526" s="4"/>
      <c r="H1526" s="4"/>
      <c r="I1526" s="4"/>
      <c r="J1526" s="4"/>
      <c r="K1526" s="4"/>
      <c r="L1526" s="4"/>
      <c r="M1526" s="4"/>
      <c r="N1526" s="4"/>
      <c r="O1526" s="6"/>
    </row>
    <row r="1527" spans="2:15" s="46" customFormat="1">
      <c r="B1527" s="3"/>
      <c r="C1527" s="3"/>
      <c r="G1527" s="4"/>
      <c r="H1527" s="4"/>
      <c r="I1527" s="4"/>
      <c r="J1527" s="4"/>
      <c r="K1527" s="4"/>
      <c r="L1527" s="4"/>
      <c r="M1527" s="4"/>
      <c r="N1527" s="4"/>
      <c r="O1527" s="6"/>
    </row>
    <row r="1528" spans="2:15" s="46" customFormat="1">
      <c r="B1528" s="3"/>
      <c r="C1528" s="3"/>
      <c r="G1528" s="4"/>
      <c r="H1528" s="4"/>
      <c r="I1528" s="4"/>
      <c r="J1528" s="4"/>
      <c r="K1528" s="4"/>
      <c r="L1528" s="4"/>
      <c r="M1528" s="4"/>
      <c r="N1528" s="4"/>
      <c r="O1528" s="6"/>
    </row>
    <row r="1529" spans="2:15" s="46" customFormat="1">
      <c r="B1529" s="3"/>
      <c r="C1529" s="3"/>
      <c r="G1529" s="4"/>
      <c r="H1529" s="4"/>
      <c r="I1529" s="4"/>
      <c r="J1529" s="4"/>
      <c r="K1529" s="4"/>
      <c r="L1529" s="4"/>
      <c r="M1529" s="4"/>
      <c r="N1529" s="4"/>
      <c r="O1529" s="6"/>
    </row>
    <row r="1530" spans="2:15" s="46" customFormat="1">
      <c r="B1530" s="3"/>
      <c r="C1530" s="3"/>
      <c r="G1530" s="4"/>
      <c r="H1530" s="4"/>
      <c r="I1530" s="4"/>
      <c r="J1530" s="4"/>
      <c r="K1530" s="4"/>
      <c r="L1530" s="4"/>
      <c r="M1530" s="4"/>
      <c r="N1530" s="4"/>
      <c r="O1530" s="6"/>
    </row>
    <row r="1531" spans="2:15" s="46" customFormat="1">
      <c r="B1531" s="3"/>
      <c r="C1531" s="3"/>
      <c r="G1531" s="4"/>
      <c r="H1531" s="4"/>
      <c r="I1531" s="4"/>
      <c r="J1531" s="4"/>
      <c r="K1531" s="4"/>
      <c r="L1531" s="4"/>
      <c r="M1531" s="4"/>
      <c r="N1531" s="4"/>
      <c r="O1531" s="6"/>
    </row>
    <row r="1532" spans="2:15" s="46" customFormat="1">
      <c r="B1532" s="3"/>
      <c r="C1532" s="3"/>
      <c r="G1532" s="4"/>
      <c r="H1532" s="4"/>
      <c r="I1532" s="4"/>
      <c r="J1532" s="4"/>
      <c r="K1532" s="4"/>
      <c r="L1532" s="4"/>
      <c r="M1532" s="4"/>
      <c r="N1532" s="4"/>
      <c r="O1532" s="6"/>
    </row>
    <row r="1533" spans="2:15" s="46" customFormat="1">
      <c r="B1533" s="3"/>
      <c r="C1533" s="3"/>
      <c r="G1533" s="4"/>
      <c r="H1533" s="4"/>
      <c r="I1533" s="4"/>
      <c r="J1533" s="4"/>
      <c r="K1533" s="4"/>
      <c r="L1533" s="4"/>
      <c r="M1533" s="4"/>
      <c r="N1533" s="4"/>
      <c r="O1533" s="6"/>
    </row>
    <row r="1534" spans="2:15" s="46" customFormat="1">
      <c r="B1534" s="3"/>
      <c r="C1534" s="3"/>
      <c r="G1534" s="4"/>
      <c r="H1534" s="4"/>
      <c r="I1534" s="4"/>
      <c r="J1534" s="4"/>
      <c r="K1534" s="4"/>
      <c r="L1534" s="4"/>
      <c r="M1534" s="4"/>
      <c r="N1534" s="4"/>
      <c r="O1534" s="6"/>
    </row>
    <row r="1535" spans="2:15" s="46" customFormat="1">
      <c r="B1535" s="3"/>
      <c r="C1535" s="3"/>
      <c r="G1535" s="4"/>
      <c r="H1535" s="4"/>
      <c r="I1535" s="4"/>
      <c r="J1535" s="4"/>
      <c r="K1535" s="4"/>
      <c r="L1535" s="4"/>
      <c r="M1535" s="4"/>
      <c r="N1535" s="4"/>
      <c r="O1535" s="6"/>
    </row>
    <row r="1536" spans="2:15" s="46" customFormat="1">
      <c r="B1536" s="3"/>
      <c r="C1536" s="3"/>
      <c r="G1536" s="4"/>
      <c r="H1536" s="4"/>
      <c r="I1536" s="4"/>
      <c r="J1536" s="4"/>
      <c r="K1536" s="4"/>
      <c r="L1536" s="4"/>
      <c r="M1536" s="4"/>
      <c r="N1536" s="4"/>
      <c r="O1536" s="6"/>
    </row>
    <row r="1537" spans="2:15" s="46" customFormat="1">
      <c r="B1537" s="3"/>
      <c r="C1537" s="3"/>
      <c r="G1537" s="4"/>
      <c r="H1537" s="4"/>
      <c r="I1537" s="4"/>
      <c r="J1537" s="4"/>
      <c r="K1537" s="4"/>
      <c r="L1537" s="4"/>
      <c r="M1537" s="4"/>
      <c r="N1537" s="4"/>
      <c r="O1537" s="6"/>
    </row>
    <row r="1538" spans="2:15" s="46" customFormat="1">
      <c r="B1538" s="3"/>
      <c r="C1538" s="3"/>
      <c r="G1538" s="4"/>
      <c r="H1538" s="4"/>
      <c r="I1538" s="4"/>
      <c r="J1538" s="4"/>
      <c r="K1538" s="4"/>
      <c r="L1538" s="4"/>
      <c r="M1538" s="4"/>
      <c r="N1538" s="4"/>
      <c r="O1538" s="6"/>
    </row>
    <row r="1539" spans="2:15" s="46" customFormat="1">
      <c r="B1539" s="3"/>
      <c r="C1539" s="3"/>
      <c r="G1539" s="4"/>
      <c r="H1539" s="4"/>
      <c r="I1539" s="4"/>
      <c r="J1539" s="4"/>
      <c r="K1539" s="4"/>
      <c r="L1539" s="4"/>
      <c r="M1539" s="4"/>
      <c r="N1539" s="4"/>
      <c r="O1539" s="6"/>
    </row>
    <row r="1540" spans="2:15" s="46" customFormat="1">
      <c r="B1540" s="3"/>
      <c r="C1540" s="3"/>
      <c r="G1540" s="4"/>
      <c r="H1540" s="4"/>
      <c r="I1540" s="4"/>
      <c r="J1540" s="4"/>
      <c r="K1540" s="4"/>
      <c r="L1540" s="4"/>
      <c r="M1540" s="4"/>
      <c r="N1540" s="4"/>
      <c r="O1540" s="6"/>
    </row>
    <row r="1541" spans="2:15" s="46" customFormat="1">
      <c r="B1541" s="3"/>
      <c r="C1541" s="3"/>
      <c r="G1541" s="4"/>
      <c r="H1541" s="4"/>
      <c r="I1541" s="4"/>
      <c r="J1541" s="4"/>
      <c r="K1541" s="4"/>
      <c r="L1541" s="4"/>
      <c r="M1541" s="4"/>
      <c r="N1541" s="4"/>
      <c r="O1541" s="6"/>
    </row>
    <row r="1542" spans="2:15" s="46" customFormat="1">
      <c r="B1542" s="3"/>
      <c r="C1542" s="3"/>
      <c r="G1542" s="4"/>
      <c r="H1542" s="4"/>
      <c r="I1542" s="4"/>
      <c r="J1542" s="4"/>
      <c r="K1542" s="4"/>
      <c r="L1542" s="4"/>
      <c r="M1542" s="4"/>
      <c r="N1542" s="4"/>
      <c r="O1542" s="6"/>
    </row>
    <row r="1543" spans="2:15" s="46" customFormat="1">
      <c r="B1543" s="3"/>
      <c r="C1543" s="3"/>
      <c r="G1543" s="4"/>
      <c r="H1543" s="4"/>
      <c r="I1543" s="4"/>
      <c r="J1543" s="4"/>
      <c r="K1543" s="4"/>
      <c r="L1543" s="4"/>
      <c r="M1543" s="4"/>
      <c r="N1543" s="4"/>
      <c r="O1543" s="6"/>
    </row>
    <row r="1544" spans="2:15" s="46" customFormat="1">
      <c r="B1544" s="3"/>
      <c r="C1544" s="3"/>
      <c r="G1544" s="4"/>
      <c r="H1544" s="4"/>
      <c r="I1544" s="4"/>
      <c r="J1544" s="4"/>
      <c r="K1544" s="4"/>
      <c r="L1544" s="4"/>
      <c r="M1544" s="4"/>
      <c r="N1544" s="4"/>
      <c r="O1544" s="6"/>
    </row>
    <row r="1545" spans="2:15" s="46" customFormat="1">
      <c r="B1545" s="3"/>
      <c r="C1545" s="3"/>
      <c r="G1545" s="4"/>
      <c r="H1545" s="4"/>
      <c r="I1545" s="4"/>
      <c r="J1545" s="4"/>
      <c r="K1545" s="4"/>
      <c r="L1545" s="4"/>
      <c r="M1545" s="4"/>
      <c r="N1545" s="4"/>
      <c r="O1545" s="6"/>
    </row>
    <row r="1546" spans="2:15" s="46" customFormat="1">
      <c r="B1546" s="3"/>
      <c r="C1546" s="3"/>
      <c r="G1546" s="4"/>
      <c r="H1546" s="4"/>
      <c r="I1546" s="4"/>
      <c r="J1546" s="4"/>
      <c r="K1546" s="4"/>
      <c r="L1546" s="4"/>
      <c r="M1546" s="4"/>
      <c r="N1546" s="4"/>
      <c r="O1546" s="6"/>
    </row>
    <row r="1547" spans="2:15" s="46" customFormat="1">
      <c r="B1547" s="3"/>
      <c r="C1547" s="3"/>
      <c r="G1547" s="4"/>
      <c r="H1547" s="4"/>
      <c r="I1547" s="4"/>
      <c r="J1547" s="4"/>
      <c r="K1547" s="4"/>
      <c r="L1547" s="4"/>
      <c r="M1547" s="4"/>
      <c r="N1547" s="4"/>
      <c r="O1547" s="6"/>
    </row>
    <row r="1548" spans="2:15" s="46" customFormat="1">
      <c r="B1548" s="3"/>
      <c r="C1548" s="3"/>
      <c r="G1548" s="4"/>
      <c r="H1548" s="4"/>
      <c r="I1548" s="4"/>
      <c r="J1548" s="4"/>
      <c r="K1548" s="4"/>
      <c r="L1548" s="4"/>
      <c r="M1548" s="4"/>
      <c r="N1548" s="4"/>
      <c r="O1548" s="6"/>
    </row>
    <row r="1549" spans="2:15" s="46" customFormat="1">
      <c r="B1549" s="3"/>
      <c r="C1549" s="3"/>
      <c r="G1549" s="4"/>
      <c r="H1549" s="4"/>
      <c r="I1549" s="4"/>
      <c r="J1549" s="4"/>
      <c r="K1549" s="4"/>
      <c r="L1549" s="4"/>
      <c r="M1549" s="4"/>
      <c r="N1549" s="4"/>
      <c r="O1549" s="6"/>
    </row>
    <row r="1550" spans="2:15" s="46" customFormat="1">
      <c r="B1550" s="3"/>
      <c r="C1550" s="3"/>
      <c r="G1550" s="4"/>
      <c r="H1550" s="4"/>
      <c r="I1550" s="4"/>
      <c r="J1550" s="4"/>
      <c r="K1550" s="4"/>
      <c r="L1550" s="4"/>
      <c r="M1550" s="4"/>
      <c r="N1550" s="4"/>
      <c r="O1550" s="6"/>
    </row>
    <row r="1551" spans="2:15" s="46" customFormat="1">
      <c r="B1551" s="3"/>
      <c r="C1551" s="3"/>
      <c r="G1551" s="4"/>
      <c r="H1551" s="4"/>
      <c r="I1551" s="4"/>
      <c r="J1551" s="4"/>
      <c r="K1551" s="4"/>
      <c r="L1551" s="4"/>
      <c r="M1551" s="4"/>
      <c r="N1551" s="4"/>
      <c r="O1551" s="6"/>
    </row>
    <row r="1552" spans="2:15" s="46" customFormat="1">
      <c r="B1552" s="3"/>
      <c r="C1552" s="3"/>
      <c r="G1552" s="4"/>
      <c r="H1552" s="4"/>
      <c r="I1552" s="4"/>
      <c r="J1552" s="4"/>
      <c r="K1552" s="4"/>
      <c r="L1552" s="4"/>
      <c r="M1552" s="4"/>
      <c r="N1552" s="4"/>
      <c r="O1552" s="6"/>
    </row>
    <row r="1553" spans="2:15" s="46" customFormat="1">
      <c r="B1553" s="3"/>
      <c r="C1553" s="3"/>
      <c r="G1553" s="4"/>
      <c r="H1553" s="4"/>
      <c r="I1553" s="4"/>
      <c r="J1553" s="4"/>
      <c r="K1553" s="4"/>
      <c r="L1553" s="4"/>
      <c r="M1553" s="4"/>
      <c r="N1553" s="4"/>
      <c r="O1553" s="6"/>
    </row>
    <row r="1554" spans="2:15" s="46" customFormat="1">
      <c r="B1554" s="3"/>
      <c r="C1554" s="3"/>
      <c r="G1554" s="4"/>
      <c r="H1554" s="4"/>
      <c r="I1554" s="4"/>
      <c r="J1554" s="4"/>
      <c r="K1554" s="4"/>
      <c r="L1554" s="4"/>
      <c r="M1554" s="4"/>
      <c r="N1554" s="4"/>
      <c r="O1554" s="6"/>
    </row>
    <row r="1555" spans="2:15" s="46" customFormat="1">
      <c r="B1555" s="3"/>
      <c r="C1555" s="3"/>
      <c r="G1555" s="4"/>
      <c r="H1555" s="4"/>
      <c r="I1555" s="4"/>
      <c r="J1555" s="4"/>
      <c r="K1555" s="4"/>
      <c r="L1555" s="4"/>
      <c r="M1555" s="4"/>
      <c r="N1555" s="4"/>
      <c r="O1555" s="6"/>
    </row>
    <row r="1556" spans="2:15" s="46" customFormat="1">
      <c r="B1556" s="3"/>
      <c r="C1556" s="3"/>
      <c r="G1556" s="4"/>
      <c r="H1556" s="4"/>
      <c r="I1556" s="4"/>
      <c r="J1556" s="4"/>
      <c r="K1556" s="4"/>
      <c r="L1556" s="4"/>
      <c r="M1556" s="4"/>
      <c r="N1556" s="4"/>
      <c r="O1556" s="6"/>
    </row>
    <row r="1557" spans="2:15" s="46" customFormat="1">
      <c r="B1557" s="3"/>
      <c r="C1557" s="3"/>
      <c r="G1557" s="4"/>
      <c r="H1557" s="4"/>
      <c r="I1557" s="4"/>
      <c r="J1557" s="4"/>
      <c r="K1557" s="4"/>
      <c r="L1557" s="4"/>
      <c r="M1557" s="4"/>
      <c r="N1557" s="4"/>
      <c r="O1557" s="6"/>
    </row>
    <row r="1558" spans="2:15" s="46" customFormat="1">
      <c r="B1558" s="3"/>
      <c r="C1558" s="3"/>
      <c r="G1558" s="4"/>
      <c r="H1558" s="4"/>
      <c r="I1558" s="4"/>
      <c r="J1558" s="4"/>
      <c r="K1558" s="4"/>
      <c r="L1558" s="4"/>
      <c r="M1558" s="4"/>
      <c r="N1558" s="4"/>
      <c r="O1558" s="6"/>
    </row>
    <row r="1559" spans="2:15" s="46" customFormat="1">
      <c r="B1559" s="3"/>
      <c r="C1559" s="3"/>
      <c r="G1559" s="4"/>
      <c r="H1559" s="4"/>
      <c r="I1559" s="4"/>
      <c r="J1559" s="4"/>
      <c r="K1559" s="4"/>
      <c r="L1559" s="4"/>
      <c r="M1559" s="4"/>
      <c r="N1559" s="4"/>
      <c r="O1559" s="6"/>
    </row>
    <row r="1560" spans="2:15" s="46" customFormat="1">
      <c r="B1560" s="3"/>
      <c r="C1560" s="3"/>
      <c r="G1560" s="4"/>
      <c r="H1560" s="4"/>
      <c r="I1560" s="4"/>
      <c r="J1560" s="4"/>
      <c r="K1560" s="4"/>
      <c r="L1560" s="4"/>
      <c r="M1560" s="4"/>
      <c r="N1560" s="4"/>
      <c r="O1560" s="6"/>
    </row>
    <row r="1561" spans="2:15" s="46" customFormat="1">
      <c r="B1561" s="3"/>
      <c r="C1561" s="3"/>
      <c r="G1561" s="4"/>
      <c r="H1561" s="4"/>
      <c r="I1561" s="4"/>
      <c r="J1561" s="4"/>
      <c r="K1561" s="4"/>
      <c r="L1561" s="4"/>
      <c r="M1561" s="4"/>
      <c r="N1561" s="4"/>
      <c r="O1561" s="6"/>
    </row>
    <row r="1562" spans="2:15" s="46" customFormat="1">
      <c r="B1562" s="3"/>
      <c r="C1562" s="3"/>
      <c r="G1562" s="4"/>
      <c r="H1562" s="4"/>
      <c r="I1562" s="4"/>
      <c r="J1562" s="4"/>
      <c r="K1562" s="4"/>
      <c r="L1562" s="4"/>
      <c r="M1562" s="4"/>
      <c r="N1562" s="4"/>
      <c r="O1562" s="6"/>
    </row>
    <row r="1563" spans="2:15" s="46" customFormat="1">
      <c r="B1563" s="3"/>
      <c r="C1563" s="3"/>
      <c r="G1563" s="4"/>
      <c r="H1563" s="4"/>
      <c r="I1563" s="4"/>
      <c r="J1563" s="4"/>
      <c r="K1563" s="4"/>
      <c r="L1563" s="4"/>
      <c r="M1563" s="4"/>
      <c r="N1563" s="4"/>
      <c r="O1563" s="6"/>
    </row>
    <row r="1564" spans="2:15" s="46" customFormat="1">
      <c r="B1564" s="3"/>
      <c r="C1564" s="3"/>
      <c r="G1564" s="4"/>
      <c r="H1564" s="4"/>
      <c r="I1564" s="4"/>
      <c r="J1564" s="4"/>
      <c r="K1564" s="4"/>
      <c r="L1564" s="4"/>
      <c r="M1564" s="4"/>
      <c r="N1564" s="4"/>
      <c r="O1564" s="6"/>
    </row>
    <row r="1565" spans="2:15" s="46" customFormat="1">
      <c r="B1565" s="3"/>
      <c r="C1565" s="3"/>
      <c r="G1565" s="4"/>
      <c r="H1565" s="4"/>
      <c r="I1565" s="4"/>
      <c r="J1565" s="4"/>
      <c r="K1565" s="4"/>
      <c r="L1565" s="4"/>
      <c r="M1565" s="4"/>
      <c r="N1565" s="4"/>
      <c r="O1565" s="6"/>
    </row>
    <row r="1566" spans="2:15" s="46" customFormat="1">
      <c r="B1566" s="3"/>
      <c r="C1566" s="3"/>
      <c r="G1566" s="4"/>
      <c r="H1566" s="4"/>
      <c r="I1566" s="4"/>
      <c r="J1566" s="4"/>
      <c r="K1566" s="4"/>
      <c r="L1566" s="4"/>
      <c r="M1566" s="4"/>
      <c r="N1566" s="4"/>
      <c r="O1566" s="6"/>
    </row>
    <row r="1567" spans="2:15" s="46" customFormat="1">
      <c r="B1567" s="3"/>
      <c r="C1567" s="3"/>
      <c r="G1567" s="4"/>
      <c r="H1567" s="4"/>
      <c r="I1567" s="4"/>
      <c r="J1567" s="4"/>
      <c r="K1567" s="4"/>
      <c r="L1567" s="4"/>
      <c r="M1567" s="4"/>
      <c r="N1567" s="4"/>
      <c r="O1567" s="6"/>
    </row>
    <row r="1568" spans="2:15" s="46" customFormat="1">
      <c r="B1568" s="3"/>
      <c r="C1568" s="3"/>
      <c r="G1568" s="4"/>
      <c r="H1568" s="4"/>
      <c r="I1568" s="4"/>
      <c r="J1568" s="4"/>
      <c r="K1568" s="4"/>
      <c r="L1568" s="4"/>
      <c r="M1568" s="4"/>
      <c r="N1568" s="4"/>
      <c r="O1568" s="6"/>
    </row>
    <row r="1569" spans="2:15" s="46" customFormat="1">
      <c r="B1569" s="3"/>
      <c r="C1569" s="3"/>
      <c r="G1569" s="4"/>
      <c r="H1569" s="4"/>
      <c r="I1569" s="4"/>
      <c r="J1569" s="4"/>
      <c r="K1569" s="4"/>
      <c r="L1569" s="4"/>
      <c r="M1569" s="4"/>
      <c r="N1569" s="4"/>
      <c r="O1569" s="6"/>
    </row>
    <row r="1570" spans="2:15" s="46" customFormat="1">
      <c r="B1570" s="3"/>
      <c r="C1570" s="3"/>
      <c r="G1570" s="4"/>
      <c r="H1570" s="4"/>
      <c r="I1570" s="4"/>
      <c r="J1570" s="4"/>
      <c r="K1570" s="4"/>
      <c r="L1570" s="4"/>
      <c r="M1570" s="4"/>
      <c r="N1570" s="4"/>
      <c r="O1570" s="6"/>
    </row>
    <row r="1571" spans="2:15" s="46" customFormat="1">
      <c r="B1571" s="3"/>
      <c r="C1571" s="3"/>
      <c r="G1571" s="4"/>
      <c r="H1571" s="4"/>
      <c r="I1571" s="4"/>
      <c r="J1571" s="4"/>
      <c r="K1571" s="4"/>
      <c r="L1571" s="4"/>
      <c r="M1571" s="4"/>
      <c r="N1571" s="4"/>
      <c r="O1571" s="6"/>
    </row>
    <row r="1572" spans="2:15" s="46" customFormat="1">
      <c r="B1572" s="3"/>
      <c r="C1572" s="3"/>
      <c r="G1572" s="4"/>
      <c r="H1572" s="4"/>
      <c r="I1572" s="4"/>
      <c r="J1572" s="4"/>
      <c r="K1572" s="4"/>
      <c r="L1572" s="4"/>
      <c r="M1572" s="4"/>
      <c r="N1572" s="4"/>
      <c r="O1572" s="6"/>
    </row>
    <row r="1573" spans="2:15" s="46" customFormat="1">
      <c r="B1573" s="3"/>
      <c r="C1573" s="3"/>
      <c r="G1573" s="4"/>
      <c r="H1573" s="4"/>
      <c r="I1573" s="4"/>
      <c r="J1573" s="4"/>
      <c r="K1573" s="4"/>
      <c r="L1573" s="4"/>
      <c r="M1573" s="4"/>
      <c r="N1573" s="4"/>
      <c r="O1573" s="6"/>
    </row>
    <row r="1574" spans="2:15" s="46" customFormat="1">
      <c r="B1574" s="3"/>
      <c r="C1574" s="3"/>
      <c r="G1574" s="4"/>
      <c r="H1574" s="4"/>
      <c r="I1574" s="4"/>
      <c r="J1574" s="4"/>
      <c r="K1574" s="4"/>
      <c r="L1574" s="4"/>
      <c r="M1574" s="4"/>
      <c r="N1574" s="4"/>
      <c r="O1574" s="6"/>
    </row>
    <row r="1575" spans="2:15" s="46" customFormat="1">
      <c r="B1575" s="3"/>
      <c r="C1575" s="3"/>
      <c r="G1575" s="4"/>
      <c r="H1575" s="4"/>
      <c r="I1575" s="4"/>
      <c r="J1575" s="4"/>
      <c r="K1575" s="4"/>
      <c r="L1575" s="4"/>
      <c r="M1575" s="4"/>
      <c r="N1575" s="4"/>
      <c r="O1575" s="6"/>
    </row>
    <row r="1576" spans="2:15" s="46" customFormat="1">
      <c r="B1576" s="3"/>
      <c r="C1576" s="3"/>
      <c r="G1576" s="4"/>
      <c r="H1576" s="4"/>
      <c r="I1576" s="4"/>
      <c r="J1576" s="4"/>
      <c r="K1576" s="4"/>
      <c r="L1576" s="4"/>
      <c r="M1576" s="4"/>
      <c r="N1576" s="4"/>
      <c r="O1576" s="6"/>
    </row>
    <row r="1577" spans="2:15" s="46" customFormat="1">
      <c r="B1577" s="3"/>
      <c r="C1577" s="3"/>
      <c r="G1577" s="4"/>
      <c r="H1577" s="4"/>
      <c r="I1577" s="4"/>
      <c r="J1577" s="4"/>
      <c r="K1577" s="4"/>
      <c r="L1577" s="4"/>
      <c r="M1577" s="4"/>
      <c r="N1577" s="4"/>
      <c r="O1577" s="6"/>
    </row>
    <row r="1578" spans="2:15" s="46" customFormat="1">
      <c r="B1578" s="3"/>
      <c r="C1578" s="3"/>
      <c r="G1578" s="4"/>
      <c r="H1578" s="4"/>
      <c r="I1578" s="4"/>
      <c r="J1578" s="4"/>
      <c r="K1578" s="4"/>
      <c r="L1578" s="4"/>
      <c r="M1578" s="4"/>
      <c r="N1578" s="4"/>
      <c r="O1578" s="6"/>
    </row>
    <row r="1579" spans="2:15" s="46" customFormat="1">
      <c r="B1579" s="3"/>
      <c r="C1579" s="3"/>
      <c r="G1579" s="4"/>
      <c r="H1579" s="4"/>
      <c r="I1579" s="4"/>
      <c r="J1579" s="4"/>
      <c r="K1579" s="4"/>
      <c r="L1579" s="4"/>
      <c r="M1579" s="4"/>
      <c r="N1579" s="4"/>
      <c r="O1579" s="6"/>
    </row>
    <row r="1580" spans="2:15" s="46" customFormat="1">
      <c r="B1580" s="3"/>
      <c r="C1580" s="3"/>
      <c r="G1580" s="4"/>
      <c r="H1580" s="4"/>
      <c r="I1580" s="4"/>
      <c r="J1580" s="4"/>
      <c r="K1580" s="4"/>
      <c r="L1580" s="4"/>
      <c r="M1580" s="4"/>
      <c r="N1580" s="4"/>
      <c r="O1580" s="6"/>
    </row>
    <row r="1581" spans="2:15" s="46" customFormat="1">
      <c r="B1581" s="3"/>
      <c r="C1581" s="3"/>
      <c r="G1581" s="4"/>
      <c r="H1581" s="4"/>
      <c r="I1581" s="4"/>
      <c r="J1581" s="4"/>
      <c r="K1581" s="4"/>
      <c r="L1581" s="4"/>
      <c r="M1581" s="4"/>
      <c r="N1581" s="4"/>
      <c r="O1581" s="6"/>
    </row>
    <row r="1582" spans="2:15" s="46" customFormat="1">
      <c r="B1582" s="3"/>
      <c r="C1582" s="3"/>
      <c r="G1582" s="4"/>
      <c r="H1582" s="4"/>
      <c r="I1582" s="4"/>
      <c r="J1582" s="4"/>
      <c r="K1582" s="4"/>
      <c r="L1582" s="4"/>
      <c r="M1582" s="4"/>
      <c r="N1582" s="4"/>
      <c r="O1582" s="6"/>
    </row>
    <row r="1583" spans="2:15" s="46" customFormat="1">
      <c r="B1583" s="3"/>
      <c r="C1583" s="3"/>
      <c r="G1583" s="4"/>
      <c r="H1583" s="4"/>
      <c r="I1583" s="4"/>
      <c r="J1583" s="4"/>
      <c r="K1583" s="4"/>
      <c r="L1583" s="4"/>
      <c r="M1583" s="4"/>
      <c r="N1583" s="4"/>
      <c r="O1583" s="6"/>
    </row>
    <row r="1584" spans="2:15" s="46" customFormat="1">
      <c r="B1584" s="3"/>
      <c r="C1584" s="3"/>
      <c r="G1584" s="4"/>
      <c r="H1584" s="4"/>
      <c r="I1584" s="4"/>
      <c r="J1584" s="4"/>
      <c r="K1584" s="4"/>
      <c r="L1584" s="4"/>
      <c r="M1584" s="4"/>
      <c r="N1584" s="4"/>
      <c r="O1584" s="6"/>
    </row>
    <row r="1585" spans="2:15" s="46" customFormat="1">
      <c r="B1585" s="3"/>
      <c r="C1585" s="3"/>
      <c r="G1585" s="4"/>
      <c r="H1585" s="4"/>
      <c r="I1585" s="4"/>
      <c r="J1585" s="4"/>
      <c r="K1585" s="4"/>
      <c r="L1585" s="4"/>
      <c r="M1585" s="4"/>
      <c r="N1585" s="4"/>
      <c r="O1585" s="6"/>
    </row>
    <row r="1586" spans="2:15" s="46" customFormat="1">
      <c r="B1586" s="3"/>
      <c r="C1586" s="3"/>
      <c r="G1586" s="4"/>
      <c r="H1586" s="4"/>
      <c r="I1586" s="4"/>
      <c r="J1586" s="4"/>
      <c r="K1586" s="4"/>
      <c r="L1586" s="4"/>
      <c r="M1586" s="4"/>
      <c r="N1586" s="4"/>
      <c r="O1586" s="6"/>
    </row>
    <row r="1587" spans="2:15" s="46" customFormat="1">
      <c r="B1587" s="3"/>
      <c r="C1587" s="3"/>
      <c r="G1587" s="4"/>
      <c r="H1587" s="4"/>
      <c r="I1587" s="4"/>
      <c r="J1587" s="4"/>
      <c r="K1587" s="4"/>
      <c r="L1587" s="4"/>
      <c r="M1587" s="4"/>
      <c r="N1587" s="4"/>
      <c r="O1587" s="6"/>
    </row>
    <row r="1588" spans="2:15" s="46" customFormat="1">
      <c r="B1588" s="3"/>
      <c r="C1588" s="3"/>
      <c r="G1588" s="4"/>
      <c r="H1588" s="4"/>
      <c r="I1588" s="4"/>
      <c r="J1588" s="4"/>
      <c r="K1588" s="4"/>
      <c r="L1588" s="4"/>
      <c r="M1588" s="4"/>
      <c r="N1588" s="4"/>
      <c r="O1588" s="6"/>
    </row>
    <row r="1589" spans="2:15" s="46" customFormat="1">
      <c r="B1589" s="3"/>
      <c r="C1589" s="3"/>
      <c r="G1589" s="4"/>
      <c r="H1589" s="4"/>
      <c r="I1589" s="4"/>
      <c r="J1589" s="4"/>
      <c r="K1589" s="4"/>
      <c r="L1589" s="4"/>
      <c r="M1589" s="4"/>
      <c r="N1589" s="4"/>
      <c r="O1589" s="6"/>
    </row>
    <row r="1590" spans="2:15" s="46" customFormat="1">
      <c r="B1590" s="3"/>
      <c r="C1590" s="3"/>
      <c r="G1590" s="4"/>
      <c r="H1590" s="4"/>
      <c r="I1590" s="4"/>
      <c r="J1590" s="4"/>
      <c r="K1590" s="4"/>
      <c r="L1590" s="4"/>
      <c r="M1590" s="4"/>
      <c r="N1590" s="4"/>
      <c r="O1590" s="6"/>
    </row>
    <row r="1591" spans="2:15" s="46" customFormat="1">
      <c r="B1591" s="3"/>
      <c r="C1591" s="3"/>
      <c r="G1591" s="4"/>
      <c r="H1591" s="4"/>
      <c r="I1591" s="4"/>
      <c r="J1591" s="4"/>
      <c r="K1591" s="4"/>
      <c r="L1591" s="4"/>
      <c r="M1591" s="4"/>
      <c r="N1591" s="4"/>
      <c r="O1591" s="6"/>
    </row>
    <row r="1592" spans="2:15" s="46" customFormat="1">
      <c r="B1592" s="3"/>
      <c r="C1592" s="3"/>
      <c r="G1592" s="4"/>
      <c r="H1592" s="4"/>
      <c r="I1592" s="4"/>
      <c r="J1592" s="4"/>
      <c r="K1592" s="4"/>
      <c r="L1592" s="4"/>
      <c r="M1592" s="4"/>
      <c r="N1592" s="4"/>
      <c r="O1592" s="6"/>
    </row>
    <row r="1593" spans="2:15" s="46" customFormat="1">
      <c r="B1593" s="3"/>
      <c r="C1593" s="3"/>
      <c r="G1593" s="4"/>
      <c r="H1593" s="4"/>
      <c r="I1593" s="4"/>
      <c r="J1593" s="4"/>
      <c r="K1593" s="4"/>
      <c r="L1593" s="4"/>
      <c r="M1593" s="4"/>
      <c r="N1593" s="4"/>
      <c r="O1593" s="6"/>
    </row>
    <row r="1594" spans="2:15" s="46" customFormat="1">
      <c r="B1594" s="3"/>
      <c r="C1594" s="3"/>
      <c r="G1594" s="4"/>
      <c r="H1594" s="4"/>
      <c r="I1594" s="4"/>
      <c r="J1594" s="4"/>
      <c r="K1594" s="4"/>
      <c r="L1594" s="4"/>
      <c r="M1594" s="4"/>
      <c r="N1594" s="4"/>
      <c r="O1594" s="6"/>
    </row>
    <row r="1595" spans="2:15" s="46" customFormat="1">
      <c r="B1595" s="3"/>
      <c r="C1595" s="3"/>
      <c r="G1595" s="4"/>
      <c r="H1595" s="4"/>
      <c r="I1595" s="4"/>
      <c r="J1595" s="4"/>
      <c r="K1595" s="4"/>
      <c r="L1595" s="4"/>
      <c r="M1595" s="4"/>
      <c r="N1595" s="4"/>
      <c r="O1595" s="6"/>
    </row>
    <row r="1596" spans="2:15" s="46" customFormat="1">
      <c r="B1596" s="3"/>
      <c r="C1596" s="3"/>
      <c r="G1596" s="4"/>
      <c r="H1596" s="4"/>
      <c r="I1596" s="4"/>
      <c r="J1596" s="4"/>
      <c r="K1596" s="4"/>
      <c r="L1596" s="4"/>
      <c r="M1596" s="4"/>
      <c r="N1596" s="4"/>
      <c r="O1596" s="6"/>
    </row>
    <row r="1597" spans="2:15" s="46" customFormat="1">
      <c r="B1597" s="3"/>
      <c r="C1597" s="3"/>
      <c r="G1597" s="4"/>
      <c r="H1597" s="4"/>
      <c r="I1597" s="4"/>
      <c r="J1597" s="4"/>
      <c r="K1597" s="4"/>
      <c r="L1597" s="4"/>
      <c r="M1597" s="4"/>
      <c r="N1597" s="4"/>
      <c r="O1597" s="6"/>
    </row>
    <row r="1598" spans="2:15" s="46" customFormat="1">
      <c r="B1598" s="3"/>
      <c r="C1598" s="3"/>
      <c r="G1598" s="4"/>
      <c r="H1598" s="4"/>
      <c r="I1598" s="4"/>
      <c r="J1598" s="4"/>
      <c r="K1598" s="4"/>
      <c r="L1598" s="4"/>
      <c r="M1598" s="4"/>
      <c r="N1598" s="4"/>
      <c r="O1598" s="6"/>
    </row>
    <row r="1599" spans="2:15" s="46" customFormat="1">
      <c r="B1599" s="3"/>
      <c r="C1599" s="3"/>
      <c r="G1599" s="4"/>
      <c r="H1599" s="4"/>
      <c r="I1599" s="4"/>
      <c r="J1599" s="4"/>
      <c r="K1599" s="4"/>
      <c r="L1599" s="4"/>
      <c r="M1599" s="4"/>
      <c r="N1599" s="4"/>
      <c r="O1599" s="6"/>
    </row>
    <row r="1600" spans="2:15" s="46" customFormat="1">
      <c r="B1600" s="3"/>
      <c r="C1600" s="3"/>
      <c r="G1600" s="4"/>
      <c r="H1600" s="4"/>
      <c r="I1600" s="4"/>
      <c r="J1600" s="4"/>
      <c r="K1600" s="4"/>
      <c r="L1600" s="4"/>
      <c r="M1600" s="4"/>
      <c r="N1600" s="4"/>
      <c r="O1600" s="6"/>
    </row>
    <row r="1601" spans="2:15" s="46" customFormat="1">
      <c r="B1601" s="3"/>
      <c r="C1601" s="3"/>
      <c r="G1601" s="4"/>
      <c r="H1601" s="4"/>
      <c r="I1601" s="4"/>
      <c r="J1601" s="4"/>
      <c r="K1601" s="4"/>
      <c r="L1601" s="4"/>
      <c r="M1601" s="4"/>
      <c r="N1601" s="4"/>
      <c r="O1601" s="6"/>
    </row>
    <row r="1602" spans="2:15" s="46" customFormat="1">
      <c r="B1602" s="3"/>
      <c r="C1602" s="3"/>
      <c r="G1602" s="4"/>
      <c r="H1602" s="4"/>
      <c r="I1602" s="4"/>
      <c r="J1602" s="4"/>
      <c r="K1602" s="4"/>
      <c r="L1602" s="4"/>
      <c r="M1602" s="4"/>
      <c r="N1602" s="4"/>
      <c r="O1602" s="6"/>
    </row>
    <row r="1603" spans="2:15" s="46" customFormat="1">
      <c r="B1603" s="3"/>
      <c r="C1603" s="3"/>
      <c r="G1603" s="4"/>
      <c r="H1603" s="4"/>
      <c r="I1603" s="4"/>
      <c r="J1603" s="4"/>
      <c r="K1603" s="4"/>
      <c r="L1603" s="4"/>
      <c r="M1603" s="4"/>
      <c r="N1603" s="4"/>
      <c r="O1603" s="6"/>
    </row>
    <row r="1604" spans="2:15" s="46" customFormat="1">
      <c r="B1604" s="3"/>
      <c r="C1604" s="3"/>
      <c r="G1604" s="4"/>
      <c r="H1604" s="4"/>
      <c r="I1604" s="4"/>
      <c r="J1604" s="4"/>
      <c r="K1604" s="4"/>
      <c r="L1604" s="4"/>
      <c r="M1604" s="4"/>
      <c r="N1604" s="4"/>
      <c r="O1604" s="6"/>
    </row>
    <row r="1605" spans="2:15" s="46" customFormat="1">
      <c r="B1605" s="3"/>
      <c r="C1605" s="3"/>
      <c r="G1605" s="4"/>
      <c r="H1605" s="4"/>
      <c r="I1605" s="4"/>
      <c r="J1605" s="4"/>
      <c r="K1605" s="4"/>
      <c r="L1605" s="4"/>
      <c r="M1605" s="4"/>
      <c r="N1605" s="4"/>
      <c r="O1605" s="6"/>
    </row>
    <row r="1606" spans="2:15" s="46" customFormat="1">
      <c r="B1606" s="3"/>
      <c r="C1606" s="3"/>
      <c r="G1606" s="4"/>
      <c r="H1606" s="4"/>
      <c r="I1606" s="4"/>
      <c r="J1606" s="4"/>
      <c r="K1606" s="4"/>
      <c r="L1606" s="4"/>
      <c r="M1606" s="4"/>
      <c r="N1606" s="4"/>
      <c r="O1606" s="6"/>
    </row>
    <row r="1607" spans="2:15" s="46" customFormat="1">
      <c r="B1607" s="3"/>
      <c r="C1607" s="3"/>
      <c r="G1607" s="4"/>
      <c r="H1607" s="4"/>
      <c r="I1607" s="4"/>
      <c r="J1607" s="4"/>
      <c r="K1607" s="4"/>
      <c r="L1607" s="4"/>
      <c r="M1607" s="4"/>
      <c r="N1607" s="4"/>
      <c r="O1607" s="6"/>
    </row>
    <row r="1608" spans="2:15" s="46" customFormat="1">
      <c r="B1608" s="3"/>
      <c r="C1608" s="3"/>
      <c r="G1608" s="4"/>
      <c r="H1608" s="4"/>
      <c r="I1608" s="4"/>
      <c r="J1608" s="4"/>
      <c r="K1608" s="4"/>
      <c r="L1608" s="4"/>
      <c r="M1608" s="4"/>
      <c r="N1608" s="4"/>
      <c r="O1608" s="6"/>
    </row>
    <row r="1609" spans="2:15" s="46" customFormat="1">
      <c r="B1609" s="3"/>
      <c r="C1609" s="3"/>
      <c r="G1609" s="4"/>
      <c r="H1609" s="4"/>
      <c r="I1609" s="4"/>
      <c r="J1609" s="4"/>
      <c r="K1609" s="4"/>
      <c r="L1609" s="4"/>
      <c r="M1609" s="4"/>
      <c r="N1609" s="4"/>
      <c r="O1609" s="6"/>
    </row>
    <row r="1610" spans="2:15" s="46" customFormat="1">
      <c r="B1610" s="3"/>
      <c r="C1610" s="3"/>
      <c r="G1610" s="4"/>
      <c r="H1610" s="4"/>
      <c r="I1610" s="4"/>
      <c r="J1610" s="4"/>
      <c r="K1610" s="4"/>
      <c r="L1610" s="4"/>
      <c r="M1610" s="4"/>
      <c r="N1610" s="4"/>
      <c r="O1610" s="6"/>
    </row>
    <row r="1611" spans="2:15" s="46" customFormat="1">
      <c r="B1611" s="3"/>
      <c r="C1611" s="3"/>
      <c r="G1611" s="4"/>
      <c r="H1611" s="4"/>
      <c r="I1611" s="4"/>
      <c r="J1611" s="4"/>
      <c r="K1611" s="4"/>
      <c r="L1611" s="4"/>
      <c r="M1611" s="4"/>
      <c r="N1611" s="4"/>
      <c r="O1611" s="6"/>
    </row>
    <row r="1612" spans="2:15" s="46" customFormat="1">
      <c r="B1612" s="3"/>
      <c r="C1612" s="3"/>
      <c r="G1612" s="4"/>
      <c r="H1612" s="4"/>
      <c r="I1612" s="4"/>
      <c r="J1612" s="4"/>
      <c r="K1612" s="4"/>
      <c r="L1612" s="4"/>
      <c r="M1612" s="4"/>
      <c r="N1612" s="4"/>
      <c r="O1612" s="6"/>
    </row>
    <row r="1613" spans="2:15" s="46" customFormat="1">
      <c r="B1613" s="3"/>
      <c r="C1613" s="3"/>
      <c r="G1613" s="4"/>
      <c r="H1613" s="4"/>
      <c r="I1613" s="4"/>
      <c r="J1613" s="4"/>
      <c r="K1613" s="4"/>
      <c r="L1613" s="4"/>
      <c r="M1613" s="4"/>
      <c r="N1613" s="4"/>
      <c r="O1613" s="6"/>
    </row>
    <row r="1614" spans="2:15" s="46" customFormat="1">
      <c r="B1614" s="3"/>
      <c r="C1614" s="3"/>
      <c r="G1614" s="4"/>
      <c r="H1614" s="4"/>
      <c r="I1614" s="4"/>
      <c r="J1614" s="4"/>
      <c r="K1614" s="4"/>
      <c r="L1614" s="4"/>
      <c r="M1614" s="4"/>
      <c r="N1614" s="4"/>
      <c r="O1614" s="6"/>
    </row>
    <row r="1615" spans="2:15" s="46" customFormat="1">
      <c r="B1615" s="3"/>
      <c r="C1615" s="3"/>
      <c r="G1615" s="4"/>
      <c r="H1615" s="4"/>
      <c r="I1615" s="4"/>
      <c r="J1615" s="4"/>
      <c r="K1615" s="4"/>
      <c r="L1615" s="4"/>
      <c r="M1615" s="4"/>
      <c r="N1615" s="4"/>
      <c r="O1615" s="6"/>
    </row>
    <row r="1616" spans="2:15" s="46" customFormat="1">
      <c r="B1616" s="3"/>
      <c r="C1616" s="3"/>
      <c r="G1616" s="4"/>
      <c r="H1616" s="4"/>
      <c r="I1616" s="4"/>
      <c r="J1616" s="4"/>
      <c r="K1616" s="4"/>
      <c r="L1616" s="4"/>
      <c r="M1616" s="4"/>
      <c r="N1616" s="4"/>
      <c r="O1616" s="6"/>
    </row>
    <row r="1617" spans="2:15" s="46" customFormat="1">
      <c r="B1617" s="3"/>
      <c r="C1617" s="3"/>
      <c r="G1617" s="4"/>
      <c r="H1617" s="4"/>
      <c r="I1617" s="4"/>
      <c r="J1617" s="4"/>
      <c r="K1617" s="4"/>
      <c r="L1617" s="4"/>
      <c r="M1617" s="4"/>
      <c r="N1617" s="4"/>
      <c r="O1617" s="6"/>
    </row>
    <row r="1618" spans="2:15" s="46" customFormat="1">
      <c r="B1618" s="3"/>
      <c r="C1618" s="3"/>
      <c r="G1618" s="4"/>
      <c r="H1618" s="4"/>
      <c r="I1618" s="4"/>
      <c r="J1618" s="4"/>
      <c r="K1618" s="4"/>
      <c r="L1618" s="4"/>
      <c r="M1618" s="4"/>
      <c r="N1618" s="4"/>
      <c r="O1618" s="6"/>
    </row>
    <row r="1619" spans="2:15" s="46" customFormat="1">
      <c r="B1619" s="3"/>
      <c r="C1619" s="3"/>
      <c r="G1619" s="4"/>
      <c r="H1619" s="4"/>
      <c r="I1619" s="4"/>
      <c r="J1619" s="4"/>
      <c r="K1619" s="4"/>
      <c r="L1619" s="4"/>
      <c r="M1619" s="4"/>
      <c r="N1619" s="4"/>
      <c r="O1619" s="6"/>
    </row>
    <row r="1620" spans="2:15" s="46" customFormat="1">
      <c r="B1620" s="3"/>
      <c r="C1620" s="3"/>
      <c r="G1620" s="4"/>
      <c r="H1620" s="4"/>
      <c r="I1620" s="4"/>
      <c r="J1620" s="4"/>
      <c r="K1620" s="4"/>
      <c r="L1620" s="4"/>
      <c r="M1620" s="4"/>
      <c r="N1620" s="4"/>
      <c r="O1620" s="6"/>
    </row>
    <row r="1621" spans="2:15" s="46" customFormat="1">
      <c r="B1621" s="3"/>
      <c r="C1621" s="3"/>
      <c r="G1621" s="4"/>
      <c r="H1621" s="4"/>
      <c r="I1621" s="4"/>
      <c r="J1621" s="4"/>
      <c r="K1621" s="4"/>
      <c r="L1621" s="4"/>
      <c r="M1621" s="4"/>
      <c r="N1621" s="4"/>
      <c r="O1621" s="6"/>
    </row>
    <row r="1622" spans="2:15" s="46" customFormat="1">
      <c r="B1622" s="3"/>
      <c r="C1622" s="3"/>
      <c r="G1622" s="4"/>
      <c r="H1622" s="4"/>
      <c r="I1622" s="4"/>
      <c r="J1622" s="4"/>
      <c r="K1622" s="4"/>
      <c r="L1622" s="4"/>
      <c r="M1622" s="4"/>
      <c r="N1622" s="4"/>
      <c r="O1622" s="6"/>
    </row>
    <row r="1623" spans="2:15" s="46" customFormat="1">
      <c r="B1623" s="3"/>
      <c r="C1623" s="3"/>
      <c r="G1623" s="4"/>
      <c r="H1623" s="4"/>
      <c r="I1623" s="4"/>
      <c r="J1623" s="4"/>
      <c r="K1623" s="4"/>
      <c r="L1623" s="4"/>
      <c r="M1623" s="4"/>
      <c r="N1623" s="4"/>
      <c r="O1623" s="6"/>
    </row>
    <row r="1624" spans="2:15" s="46" customFormat="1">
      <c r="B1624" s="3"/>
      <c r="C1624" s="3"/>
      <c r="G1624" s="4"/>
      <c r="H1624" s="4"/>
      <c r="I1624" s="4"/>
      <c r="J1624" s="4"/>
      <c r="K1624" s="4"/>
      <c r="L1624" s="4"/>
      <c r="M1624" s="4"/>
      <c r="N1624" s="4"/>
      <c r="O1624" s="6"/>
    </row>
    <row r="1625" spans="2:15" s="46" customFormat="1">
      <c r="B1625" s="3"/>
      <c r="C1625" s="3"/>
      <c r="G1625" s="4"/>
      <c r="H1625" s="4"/>
      <c r="I1625" s="4"/>
      <c r="J1625" s="4"/>
      <c r="K1625" s="4"/>
      <c r="L1625" s="4"/>
      <c r="M1625" s="4"/>
      <c r="N1625" s="4"/>
      <c r="O1625" s="6"/>
    </row>
    <row r="1626" spans="2:15" s="46" customFormat="1">
      <c r="B1626" s="3"/>
      <c r="C1626" s="3"/>
      <c r="G1626" s="4"/>
      <c r="H1626" s="4"/>
      <c r="I1626" s="4"/>
      <c r="J1626" s="4"/>
      <c r="K1626" s="4"/>
      <c r="L1626" s="4"/>
      <c r="M1626" s="4"/>
      <c r="N1626" s="4"/>
      <c r="O1626" s="6"/>
    </row>
    <row r="1627" spans="2:15" s="46" customFormat="1">
      <c r="B1627" s="3"/>
      <c r="C1627" s="3"/>
      <c r="G1627" s="4"/>
      <c r="H1627" s="4"/>
      <c r="I1627" s="4"/>
      <c r="J1627" s="4"/>
      <c r="K1627" s="4"/>
      <c r="L1627" s="4"/>
      <c r="M1627" s="4"/>
      <c r="N1627" s="4"/>
      <c r="O1627" s="6"/>
    </row>
    <row r="1628" spans="2:15" s="46" customFormat="1">
      <c r="B1628" s="3"/>
      <c r="C1628" s="3"/>
      <c r="G1628" s="4"/>
      <c r="H1628" s="4"/>
      <c r="I1628" s="4"/>
      <c r="J1628" s="4"/>
      <c r="K1628" s="4"/>
      <c r="L1628" s="4"/>
      <c r="M1628" s="4"/>
      <c r="N1628" s="4"/>
      <c r="O1628" s="6"/>
    </row>
    <row r="1629" spans="2:15" s="46" customFormat="1">
      <c r="B1629" s="3"/>
      <c r="C1629" s="3"/>
      <c r="G1629" s="4"/>
      <c r="H1629" s="4"/>
      <c r="I1629" s="4"/>
      <c r="J1629" s="4"/>
      <c r="K1629" s="4"/>
      <c r="L1629" s="4"/>
      <c r="M1629" s="4"/>
      <c r="N1629" s="4"/>
      <c r="O1629" s="6"/>
    </row>
    <row r="1630" spans="2:15" s="46" customFormat="1">
      <c r="B1630" s="3"/>
      <c r="C1630" s="3"/>
      <c r="G1630" s="4"/>
      <c r="H1630" s="4"/>
      <c r="I1630" s="4"/>
      <c r="J1630" s="4"/>
      <c r="K1630" s="4"/>
      <c r="L1630" s="4"/>
      <c r="M1630" s="4"/>
      <c r="N1630" s="4"/>
      <c r="O1630" s="6"/>
    </row>
    <row r="1631" spans="2:15" s="46" customFormat="1">
      <c r="B1631" s="3"/>
      <c r="C1631" s="3"/>
      <c r="G1631" s="4"/>
      <c r="H1631" s="4"/>
      <c r="I1631" s="4"/>
      <c r="J1631" s="4"/>
      <c r="K1631" s="4"/>
      <c r="L1631" s="4"/>
      <c r="M1631" s="4"/>
      <c r="N1631" s="4"/>
      <c r="O1631" s="6"/>
    </row>
    <row r="1632" spans="2:15" s="46" customFormat="1">
      <c r="B1632" s="3"/>
      <c r="C1632" s="3"/>
      <c r="G1632" s="4"/>
      <c r="H1632" s="4"/>
      <c r="I1632" s="4"/>
      <c r="J1632" s="4"/>
      <c r="K1632" s="4"/>
      <c r="L1632" s="4"/>
      <c r="M1632" s="4"/>
      <c r="N1632" s="4"/>
      <c r="O1632" s="6"/>
    </row>
    <row r="1633" spans="2:15" s="46" customFormat="1">
      <c r="B1633" s="3"/>
      <c r="C1633" s="3"/>
      <c r="G1633" s="4"/>
      <c r="H1633" s="4"/>
      <c r="I1633" s="4"/>
      <c r="J1633" s="4"/>
      <c r="K1633" s="4"/>
      <c r="L1633" s="4"/>
      <c r="M1633" s="4"/>
      <c r="N1633" s="4"/>
      <c r="O1633" s="6"/>
    </row>
    <row r="1634" spans="2:15" s="46" customFormat="1">
      <c r="B1634" s="3"/>
      <c r="C1634" s="3"/>
      <c r="G1634" s="4"/>
      <c r="H1634" s="4"/>
      <c r="I1634" s="4"/>
      <c r="J1634" s="4"/>
      <c r="K1634" s="4"/>
      <c r="L1634" s="4"/>
      <c r="M1634" s="4"/>
      <c r="N1634" s="4"/>
      <c r="O1634" s="6"/>
    </row>
    <row r="1635" spans="2:15" s="46" customFormat="1">
      <c r="B1635" s="3"/>
      <c r="C1635" s="3"/>
      <c r="G1635" s="4"/>
      <c r="H1635" s="4"/>
      <c r="I1635" s="4"/>
      <c r="J1635" s="4"/>
      <c r="K1635" s="4"/>
      <c r="L1635" s="4"/>
      <c r="M1635" s="4"/>
      <c r="N1635" s="4"/>
      <c r="O1635" s="6"/>
    </row>
    <row r="1636" spans="2:15" s="46" customFormat="1">
      <c r="B1636" s="3"/>
      <c r="C1636" s="3"/>
      <c r="G1636" s="4"/>
      <c r="H1636" s="4"/>
      <c r="I1636" s="4"/>
      <c r="J1636" s="4"/>
      <c r="K1636" s="4"/>
      <c r="L1636" s="4"/>
      <c r="M1636" s="4"/>
      <c r="N1636" s="4"/>
      <c r="O1636" s="6"/>
    </row>
    <row r="1637" spans="2:15" s="46" customFormat="1">
      <c r="B1637" s="3"/>
      <c r="C1637" s="3"/>
      <c r="G1637" s="4"/>
      <c r="H1637" s="4"/>
      <c r="I1637" s="4"/>
      <c r="J1637" s="4"/>
      <c r="K1637" s="4"/>
      <c r="L1637" s="4"/>
      <c r="M1637" s="4"/>
      <c r="N1637" s="4"/>
      <c r="O1637" s="6"/>
    </row>
    <row r="1638" spans="2:15" s="46" customFormat="1">
      <c r="B1638" s="3"/>
      <c r="C1638" s="3"/>
      <c r="G1638" s="4"/>
      <c r="H1638" s="4"/>
      <c r="I1638" s="4"/>
      <c r="J1638" s="4"/>
      <c r="K1638" s="4"/>
      <c r="L1638" s="4"/>
      <c r="M1638" s="4"/>
      <c r="N1638" s="4"/>
      <c r="O1638" s="6"/>
    </row>
    <row r="1639" spans="2:15" s="46" customFormat="1">
      <c r="B1639" s="3"/>
      <c r="C1639" s="3"/>
      <c r="G1639" s="4"/>
      <c r="H1639" s="4"/>
      <c r="I1639" s="4"/>
      <c r="J1639" s="4"/>
      <c r="K1639" s="4"/>
      <c r="L1639" s="4"/>
      <c r="M1639" s="4"/>
      <c r="N1639" s="4"/>
      <c r="O1639" s="6"/>
    </row>
    <row r="1640" spans="2:15" s="46" customFormat="1">
      <c r="B1640" s="3"/>
      <c r="C1640" s="3"/>
      <c r="G1640" s="4"/>
      <c r="H1640" s="4"/>
      <c r="I1640" s="4"/>
      <c r="J1640" s="4"/>
      <c r="K1640" s="4"/>
      <c r="L1640" s="4"/>
      <c r="M1640" s="4"/>
      <c r="N1640" s="4"/>
      <c r="O1640" s="6"/>
    </row>
    <row r="1641" spans="2:15" s="46" customFormat="1">
      <c r="B1641" s="3"/>
      <c r="C1641" s="3"/>
      <c r="G1641" s="4"/>
      <c r="H1641" s="4"/>
      <c r="I1641" s="4"/>
      <c r="J1641" s="4"/>
      <c r="K1641" s="4"/>
      <c r="L1641" s="4"/>
      <c r="M1641" s="4"/>
      <c r="N1641" s="4"/>
      <c r="O1641" s="6"/>
    </row>
    <row r="1642" spans="2:15" s="46" customFormat="1">
      <c r="B1642" s="3"/>
      <c r="C1642" s="3"/>
      <c r="G1642" s="4"/>
      <c r="H1642" s="4"/>
      <c r="I1642" s="4"/>
      <c r="J1642" s="4"/>
      <c r="K1642" s="4"/>
      <c r="L1642" s="4"/>
      <c r="M1642" s="4"/>
      <c r="N1642" s="4"/>
      <c r="O1642" s="6"/>
    </row>
    <row r="1643" spans="2:15" s="46" customFormat="1">
      <c r="B1643" s="3"/>
      <c r="C1643" s="3"/>
      <c r="G1643" s="4"/>
      <c r="H1643" s="4"/>
      <c r="I1643" s="4"/>
      <c r="J1643" s="4"/>
      <c r="K1643" s="4"/>
      <c r="L1643" s="4"/>
      <c r="M1643" s="4"/>
      <c r="N1643" s="4"/>
      <c r="O1643" s="6"/>
    </row>
    <row r="1644" spans="2:15" s="46" customFormat="1">
      <c r="B1644" s="3"/>
      <c r="C1644" s="3"/>
      <c r="G1644" s="4"/>
      <c r="H1644" s="4"/>
      <c r="I1644" s="4"/>
      <c r="J1644" s="4"/>
      <c r="K1644" s="4"/>
      <c r="L1644" s="4"/>
      <c r="M1644" s="4"/>
      <c r="N1644" s="4"/>
      <c r="O1644" s="6"/>
    </row>
    <row r="1645" spans="2:15" s="46" customFormat="1">
      <c r="B1645" s="3"/>
      <c r="C1645" s="3"/>
      <c r="G1645" s="4"/>
      <c r="H1645" s="4"/>
      <c r="I1645" s="4"/>
      <c r="J1645" s="4"/>
      <c r="K1645" s="4"/>
      <c r="L1645" s="4"/>
      <c r="M1645" s="4"/>
      <c r="N1645" s="4"/>
      <c r="O1645" s="6"/>
    </row>
    <row r="1646" spans="2:15" s="46" customFormat="1">
      <c r="B1646" s="3"/>
      <c r="C1646" s="3"/>
      <c r="G1646" s="4"/>
      <c r="H1646" s="4"/>
      <c r="I1646" s="4"/>
      <c r="J1646" s="4"/>
      <c r="K1646" s="4"/>
      <c r="L1646" s="4"/>
      <c r="M1646" s="4"/>
      <c r="N1646" s="4"/>
      <c r="O1646" s="6"/>
    </row>
    <row r="1647" spans="2:15" s="46" customFormat="1">
      <c r="B1647" s="3"/>
      <c r="C1647" s="3"/>
      <c r="G1647" s="4"/>
      <c r="H1647" s="4"/>
      <c r="I1647" s="4"/>
      <c r="J1647" s="4"/>
      <c r="K1647" s="4"/>
      <c r="L1647" s="4"/>
      <c r="M1647" s="4"/>
      <c r="N1647" s="4"/>
      <c r="O1647" s="6"/>
    </row>
    <row r="1648" spans="2:15" s="46" customFormat="1">
      <c r="B1648" s="3"/>
      <c r="C1648" s="3"/>
      <c r="G1648" s="4"/>
      <c r="H1648" s="4"/>
      <c r="I1648" s="4"/>
      <c r="J1648" s="4"/>
      <c r="K1648" s="4"/>
      <c r="L1648" s="4"/>
      <c r="M1648" s="4"/>
      <c r="N1648" s="4"/>
      <c r="O1648" s="6"/>
    </row>
    <row r="1649" spans="2:15" s="46" customFormat="1">
      <c r="B1649" s="3"/>
      <c r="C1649" s="3"/>
      <c r="G1649" s="4"/>
      <c r="H1649" s="4"/>
      <c r="I1649" s="4"/>
      <c r="J1649" s="4"/>
      <c r="K1649" s="4"/>
      <c r="L1649" s="4"/>
      <c r="M1649" s="4"/>
      <c r="N1649" s="4"/>
      <c r="O1649" s="6"/>
    </row>
    <row r="1650" spans="2:15" s="46" customFormat="1">
      <c r="B1650" s="3"/>
      <c r="C1650" s="3"/>
      <c r="G1650" s="4"/>
      <c r="H1650" s="4"/>
      <c r="I1650" s="4"/>
      <c r="J1650" s="4"/>
      <c r="K1650" s="4"/>
      <c r="L1650" s="4"/>
      <c r="M1650" s="4"/>
      <c r="N1650" s="4"/>
      <c r="O1650" s="6"/>
    </row>
    <row r="1651" spans="2:15" s="46" customFormat="1">
      <c r="B1651" s="3"/>
      <c r="C1651" s="3"/>
      <c r="G1651" s="4"/>
      <c r="H1651" s="4"/>
      <c r="I1651" s="4"/>
      <c r="J1651" s="4"/>
      <c r="K1651" s="4"/>
      <c r="L1651" s="4"/>
      <c r="M1651" s="4"/>
      <c r="N1651" s="4"/>
      <c r="O1651" s="6"/>
    </row>
    <row r="1652" spans="2:15" s="46" customFormat="1">
      <c r="B1652" s="3"/>
      <c r="C1652" s="3"/>
      <c r="G1652" s="4"/>
      <c r="H1652" s="4"/>
      <c r="I1652" s="4"/>
      <c r="J1652" s="4"/>
      <c r="K1652" s="4"/>
      <c r="L1652" s="4"/>
      <c r="M1652" s="4"/>
      <c r="N1652" s="4"/>
      <c r="O1652" s="6"/>
    </row>
    <row r="1653" spans="2:15" s="46" customFormat="1">
      <c r="B1653" s="3"/>
      <c r="C1653" s="3"/>
      <c r="G1653" s="4"/>
      <c r="H1653" s="4"/>
      <c r="I1653" s="4"/>
      <c r="J1653" s="4"/>
      <c r="K1653" s="4"/>
      <c r="L1653" s="4"/>
      <c r="M1653" s="4"/>
      <c r="N1653" s="4"/>
      <c r="O1653" s="6"/>
    </row>
    <row r="1654" spans="2:15" s="46" customFormat="1">
      <c r="B1654" s="3"/>
      <c r="C1654" s="3"/>
      <c r="G1654" s="4"/>
      <c r="H1654" s="4"/>
      <c r="I1654" s="4"/>
      <c r="J1654" s="4"/>
      <c r="K1654" s="4"/>
      <c r="L1654" s="4"/>
      <c r="M1654" s="4"/>
      <c r="N1654" s="4"/>
      <c r="O1654" s="6"/>
    </row>
    <row r="1655" spans="2:15" s="46" customFormat="1">
      <c r="B1655" s="3"/>
      <c r="C1655" s="3"/>
      <c r="G1655" s="4"/>
      <c r="H1655" s="4"/>
      <c r="I1655" s="4"/>
      <c r="J1655" s="4"/>
      <c r="K1655" s="4"/>
      <c r="L1655" s="4"/>
      <c r="M1655" s="4"/>
      <c r="N1655" s="4"/>
      <c r="O1655" s="6"/>
    </row>
    <row r="1656" spans="2:15" s="46" customFormat="1">
      <c r="B1656" s="3"/>
      <c r="C1656" s="3"/>
      <c r="G1656" s="4"/>
      <c r="H1656" s="4"/>
      <c r="I1656" s="4"/>
      <c r="J1656" s="4"/>
      <c r="K1656" s="4"/>
      <c r="L1656" s="4"/>
      <c r="M1656" s="4"/>
      <c r="N1656" s="4"/>
      <c r="O1656" s="6"/>
    </row>
    <row r="1657" spans="2:15" s="46" customFormat="1">
      <c r="B1657" s="3"/>
      <c r="C1657" s="3"/>
      <c r="G1657" s="4"/>
      <c r="H1657" s="4"/>
      <c r="I1657" s="4"/>
      <c r="J1657" s="4"/>
      <c r="K1657" s="4"/>
      <c r="L1657" s="4"/>
      <c r="M1657" s="4"/>
      <c r="N1657" s="4"/>
      <c r="O1657" s="6"/>
    </row>
    <row r="1658" spans="2:15" s="46" customFormat="1">
      <c r="B1658" s="3"/>
      <c r="C1658" s="3"/>
      <c r="G1658" s="4"/>
      <c r="H1658" s="4"/>
      <c r="I1658" s="4"/>
      <c r="J1658" s="4"/>
      <c r="K1658" s="4"/>
      <c r="L1658" s="4"/>
      <c r="M1658" s="4"/>
      <c r="N1658" s="4"/>
      <c r="O1658" s="6"/>
    </row>
    <row r="1659" spans="2:15" s="46" customFormat="1">
      <c r="B1659" s="3"/>
      <c r="C1659" s="3"/>
      <c r="G1659" s="4"/>
      <c r="H1659" s="4"/>
      <c r="I1659" s="4"/>
      <c r="J1659" s="4"/>
      <c r="K1659" s="4"/>
      <c r="L1659" s="4"/>
      <c r="M1659" s="4"/>
      <c r="N1659" s="4"/>
      <c r="O1659" s="6"/>
    </row>
    <row r="1660" spans="2:15" s="46" customFormat="1">
      <c r="B1660" s="3"/>
      <c r="C1660" s="3"/>
      <c r="G1660" s="4"/>
      <c r="H1660" s="4"/>
      <c r="I1660" s="4"/>
      <c r="J1660" s="4"/>
      <c r="K1660" s="4"/>
      <c r="L1660" s="4"/>
      <c r="M1660" s="4"/>
      <c r="N1660" s="4"/>
      <c r="O1660" s="6"/>
    </row>
    <row r="1661" spans="2:15" s="46" customFormat="1">
      <c r="B1661" s="3"/>
      <c r="C1661" s="3"/>
      <c r="G1661" s="4"/>
      <c r="H1661" s="4"/>
      <c r="I1661" s="4"/>
      <c r="J1661" s="4"/>
      <c r="K1661" s="4"/>
      <c r="L1661" s="4"/>
      <c r="M1661" s="4"/>
      <c r="N1661" s="4"/>
      <c r="O1661" s="6"/>
    </row>
    <row r="1662" spans="2:15" s="46" customFormat="1">
      <c r="B1662" s="3"/>
      <c r="C1662" s="3"/>
      <c r="G1662" s="4"/>
      <c r="H1662" s="4"/>
      <c r="I1662" s="4"/>
      <c r="J1662" s="4"/>
      <c r="K1662" s="4"/>
      <c r="L1662" s="4"/>
      <c r="M1662" s="4"/>
      <c r="N1662" s="4"/>
      <c r="O1662" s="6"/>
    </row>
    <row r="1663" spans="2:15" s="46" customFormat="1">
      <c r="B1663" s="3"/>
      <c r="C1663" s="3"/>
      <c r="G1663" s="4"/>
      <c r="H1663" s="4"/>
      <c r="I1663" s="4"/>
      <c r="J1663" s="4"/>
      <c r="K1663" s="4"/>
      <c r="L1663" s="4"/>
      <c r="M1663" s="4"/>
      <c r="N1663" s="4"/>
      <c r="O1663" s="6"/>
    </row>
    <row r="1664" spans="2:15" s="46" customFormat="1">
      <c r="B1664" s="3"/>
      <c r="C1664" s="3"/>
      <c r="G1664" s="4"/>
      <c r="H1664" s="4"/>
      <c r="I1664" s="4"/>
      <c r="J1664" s="4"/>
      <c r="K1664" s="4"/>
      <c r="L1664" s="4"/>
      <c r="M1664" s="4"/>
      <c r="N1664" s="4"/>
      <c r="O1664" s="6"/>
    </row>
    <row r="1665" spans="2:15" s="46" customFormat="1">
      <c r="B1665" s="3"/>
      <c r="C1665" s="3"/>
      <c r="G1665" s="4"/>
      <c r="H1665" s="4"/>
      <c r="I1665" s="4"/>
      <c r="J1665" s="4"/>
      <c r="K1665" s="4"/>
      <c r="L1665" s="4"/>
      <c r="M1665" s="4"/>
      <c r="N1665" s="4"/>
      <c r="O1665" s="6"/>
    </row>
    <row r="1666" spans="2:15" s="46" customFormat="1">
      <c r="B1666" s="3"/>
      <c r="C1666" s="3"/>
      <c r="G1666" s="4"/>
      <c r="H1666" s="4"/>
      <c r="I1666" s="4"/>
      <c r="J1666" s="4"/>
      <c r="K1666" s="4"/>
      <c r="L1666" s="4"/>
      <c r="M1666" s="4"/>
      <c r="N1666" s="4"/>
      <c r="O1666" s="6"/>
    </row>
    <row r="1667" spans="2:15" s="46" customFormat="1">
      <c r="B1667" s="3"/>
      <c r="C1667" s="3"/>
      <c r="G1667" s="4"/>
      <c r="H1667" s="4"/>
      <c r="I1667" s="4"/>
      <c r="J1667" s="4"/>
      <c r="K1667" s="4"/>
      <c r="L1667" s="4"/>
      <c r="M1667" s="4"/>
      <c r="N1667" s="4"/>
      <c r="O1667" s="6"/>
    </row>
    <row r="1668" spans="2:15" s="46" customFormat="1">
      <c r="B1668" s="3"/>
      <c r="C1668" s="3"/>
      <c r="G1668" s="4"/>
      <c r="H1668" s="4"/>
      <c r="I1668" s="4"/>
      <c r="J1668" s="4"/>
      <c r="K1668" s="4"/>
      <c r="L1668" s="4"/>
      <c r="M1668" s="4"/>
      <c r="N1668" s="4"/>
      <c r="O1668" s="6"/>
    </row>
    <row r="1669" spans="2:15" s="46" customFormat="1">
      <c r="B1669" s="3"/>
      <c r="C1669" s="3"/>
      <c r="G1669" s="4"/>
      <c r="H1669" s="4"/>
      <c r="I1669" s="4"/>
      <c r="J1669" s="4"/>
      <c r="K1669" s="4"/>
      <c r="L1669" s="4"/>
      <c r="M1669" s="4"/>
      <c r="N1669" s="4"/>
      <c r="O1669" s="6"/>
    </row>
    <row r="1670" spans="2:15" s="46" customFormat="1">
      <c r="B1670" s="3"/>
      <c r="C1670" s="3"/>
      <c r="G1670" s="4"/>
      <c r="H1670" s="4"/>
      <c r="I1670" s="4"/>
      <c r="J1670" s="4"/>
      <c r="K1670" s="4"/>
      <c r="L1670" s="4"/>
      <c r="M1670" s="4"/>
      <c r="N1670" s="4"/>
      <c r="O1670" s="6"/>
    </row>
    <row r="1671" spans="2:15" s="46" customFormat="1">
      <c r="B1671" s="3"/>
      <c r="C1671" s="3"/>
      <c r="G1671" s="4"/>
      <c r="H1671" s="4"/>
      <c r="I1671" s="4"/>
      <c r="J1671" s="4"/>
      <c r="K1671" s="4"/>
      <c r="L1671" s="4"/>
      <c r="M1671" s="4"/>
      <c r="N1671" s="4"/>
      <c r="O1671" s="6"/>
    </row>
    <row r="1672" spans="2:15" s="46" customFormat="1">
      <c r="B1672" s="3"/>
      <c r="C1672" s="3"/>
      <c r="G1672" s="4"/>
      <c r="H1672" s="4"/>
      <c r="I1672" s="4"/>
      <c r="J1672" s="4"/>
      <c r="K1672" s="4"/>
      <c r="L1672" s="4"/>
      <c r="M1672" s="4"/>
      <c r="N1672" s="4"/>
      <c r="O1672" s="6"/>
    </row>
    <row r="1673" spans="2:15" s="46" customFormat="1">
      <c r="B1673" s="3"/>
      <c r="C1673" s="3"/>
      <c r="G1673" s="4"/>
      <c r="H1673" s="4"/>
      <c r="I1673" s="4"/>
      <c r="J1673" s="4"/>
      <c r="K1673" s="4"/>
      <c r="L1673" s="4"/>
      <c r="M1673" s="4"/>
      <c r="N1673" s="4"/>
      <c r="O1673" s="6"/>
    </row>
    <row r="1674" spans="2:15" s="46" customFormat="1">
      <c r="B1674" s="3"/>
      <c r="C1674" s="3"/>
      <c r="G1674" s="4"/>
      <c r="H1674" s="4"/>
      <c r="I1674" s="4"/>
      <c r="J1674" s="4"/>
      <c r="K1674" s="4"/>
      <c r="L1674" s="4"/>
      <c r="M1674" s="4"/>
      <c r="N1674" s="4"/>
      <c r="O1674" s="6"/>
    </row>
    <row r="1675" spans="2:15" s="46" customFormat="1">
      <c r="B1675" s="3"/>
      <c r="C1675" s="3"/>
      <c r="G1675" s="4"/>
      <c r="H1675" s="4"/>
      <c r="I1675" s="4"/>
      <c r="J1675" s="4"/>
      <c r="K1675" s="4"/>
      <c r="L1675" s="4"/>
      <c r="M1675" s="4"/>
      <c r="N1675" s="4"/>
      <c r="O1675" s="6"/>
    </row>
    <row r="1676" spans="2:15" s="46" customFormat="1">
      <c r="B1676" s="3"/>
      <c r="C1676" s="3"/>
      <c r="G1676" s="4"/>
      <c r="H1676" s="4"/>
      <c r="I1676" s="4"/>
      <c r="J1676" s="4"/>
      <c r="K1676" s="4"/>
      <c r="L1676" s="4"/>
      <c r="M1676" s="4"/>
      <c r="N1676" s="4"/>
      <c r="O1676" s="6"/>
    </row>
    <row r="1677" spans="2:15" s="46" customFormat="1">
      <c r="B1677" s="3"/>
      <c r="C1677" s="3"/>
      <c r="G1677" s="4"/>
      <c r="H1677" s="4"/>
      <c r="I1677" s="4"/>
      <c r="J1677" s="4"/>
      <c r="K1677" s="4"/>
      <c r="L1677" s="4"/>
      <c r="M1677" s="4"/>
      <c r="N1677" s="4"/>
      <c r="O1677" s="6"/>
    </row>
    <row r="1678" spans="2:15" s="46" customFormat="1">
      <c r="B1678" s="3"/>
      <c r="C1678" s="3"/>
      <c r="G1678" s="4"/>
      <c r="H1678" s="4"/>
      <c r="I1678" s="4"/>
      <c r="J1678" s="4"/>
      <c r="K1678" s="4"/>
      <c r="L1678" s="4"/>
      <c r="M1678" s="4"/>
      <c r="N1678" s="4"/>
      <c r="O1678" s="6"/>
    </row>
    <row r="1679" spans="2:15" s="46" customFormat="1">
      <c r="B1679" s="3"/>
      <c r="C1679" s="3"/>
      <c r="G1679" s="4"/>
      <c r="H1679" s="4"/>
      <c r="I1679" s="4"/>
      <c r="J1679" s="4"/>
      <c r="K1679" s="4"/>
      <c r="L1679" s="4"/>
      <c r="M1679" s="4"/>
      <c r="N1679" s="4"/>
      <c r="O1679" s="6"/>
    </row>
    <row r="1680" spans="2:15" s="46" customFormat="1">
      <c r="B1680" s="3"/>
      <c r="C1680" s="3"/>
      <c r="G1680" s="4"/>
      <c r="H1680" s="4"/>
      <c r="I1680" s="4"/>
      <c r="J1680" s="4"/>
      <c r="K1680" s="4"/>
      <c r="L1680" s="4"/>
      <c r="M1680" s="4"/>
      <c r="N1680" s="4"/>
      <c r="O1680" s="6"/>
    </row>
    <row r="1681" spans="2:15" s="46" customFormat="1">
      <c r="B1681" s="3"/>
      <c r="C1681" s="3"/>
      <c r="G1681" s="4"/>
      <c r="H1681" s="4"/>
      <c r="I1681" s="4"/>
      <c r="J1681" s="4"/>
      <c r="K1681" s="4"/>
      <c r="L1681" s="4"/>
      <c r="M1681" s="4"/>
      <c r="N1681" s="4"/>
      <c r="O1681" s="6"/>
    </row>
    <row r="1682" spans="2:15" s="46" customFormat="1">
      <c r="B1682" s="3"/>
      <c r="C1682" s="3"/>
      <c r="G1682" s="4"/>
      <c r="H1682" s="4"/>
      <c r="I1682" s="4"/>
      <c r="J1682" s="4"/>
      <c r="K1682" s="4"/>
      <c r="L1682" s="4"/>
      <c r="M1682" s="4"/>
      <c r="N1682" s="4"/>
      <c r="O1682" s="6"/>
    </row>
    <row r="1683" spans="2:15" s="46" customFormat="1">
      <c r="B1683" s="3"/>
      <c r="C1683" s="3"/>
      <c r="G1683" s="4"/>
      <c r="H1683" s="4"/>
      <c r="I1683" s="4"/>
      <c r="J1683" s="4"/>
      <c r="K1683" s="4"/>
      <c r="L1683" s="4"/>
      <c r="M1683" s="4"/>
      <c r="N1683" s="4"/>
      <c r="O1683" s="6"/>
    </row>
    <row r="1684" spans="2:15" s="46" customFormat="1">
      <c r="B1684" s="3"/>
      <c r="C1684" s="3"/>
      <c r="G1684" s="4"/>
      <c r="H1684" s="4"/>
      <c r="I1684" s="4"/>
      <c r="J1684" s="4"/>
      <c r="K1684" s="4"/>
      <c r="L1684" s="4"/>
      <c r="M1684" s="4"/>
      <c r="N1684" s="4"/>
      <c r="O1684" s="6"/>
    </row>
    <row r="1685" spans="2:15" s="46" customFormat="1">
      <c r="B1685" s="3"/>
      <c r="C1685" s="3"/>
      <c r="G1685" s="4"/>
      <c r="H1685" s="4"/>
      <c r="I1685" s="4"/>
      <c r="J1685" s="4"/>
      <c r="K1685" s="4"/>
      <c r="L1685" s="4"/>
      <c r="M1685" s="4"/>
      <c r="N1685" s="4"/>
      <c r="O1685" s="6"/>
    </row>
    <row r="1686" spans="2:15" s="46" customFormat="1">
      <c r="B1686" s="3"/>
      <c r="C1686" s="3"/>
      <c r="G1686" s="4"/>
      <c r="H1686" s="4"/>
      <c r="I1686" s="4"/>
      <c r="J1686" s="4"/>
      <c r="K1686" s="4"/>
      <c r="L1686" s="4"/>
      <c r="M1686" s="4"/>
      <c r="N1686" s="4"/>
      <c r="O1686" s="6"/>
    </row>
    <row r="1687" spans="2:15" s="46" customFormat="1">
      <c r="B1687" s="3"/>
      <c r="C1687" s="3"/>
      <c r="G1687" s="4"/>
      <c r="H1687" s="4"/>
      <c r="I1687" s="4"/>
      <c r="J1687" s="4"/>
      <c r="K1687" s="4"/>
      <c r="L1687" s="4"/>
      <c r="M1687" s="4"/>
      <c r="N1687" s="4"/>
      <c r="O1687" s="6"/>
    </row>
    <row r="1688" spans="2:15" s="46" customFormat="1">
      <c r="B1688" s="3"/>
      <c r="C1688" s="3"/>
      <c r="G1688" s="4"/>
      <c r="H1688" s="4"/>
      <c r="I1688" s="4"/>
      <c r="J1688" s="4"/>
      <c r="K1688" s="4"/>
      <c r="L1688" s="4"/>
      <c r="M1688" s="4"/>
      <c r="N1688" s="4"/>
      <c r="O1688" s="6"/>
    </row>
    <row r="1689" spans="2:15" s="46" customFormat="1">
      <c r="B1689" s="3"/>
      <c r="C1689" s="3"/>
      <c r="G1689" s="4"/>
      <c r="H1689" s="4"/>
      <c r="I1689" s="4"/>
      <c r="J1689" s="4"/>
      <c r="K1689" s="4"/>
      <c r="L1689" s="4"/>
      <c r="M1689" s="4"/>
      <c r="N1689" s="4"/>
      <c r="O1689" s="6"/>
    </row>
    <row r="1690" spans="2:15" s="46" customFormat="1">
      <c r="B1690" s="3"/>
      <c r="C1690" s="3"/>
      <c r="G1690" s="4"/>
      <c r="H1690" s="4"/>
      <c r="I1690" s="4"/>
      <c r="J1690" s="4"/>
      <c r="K1690" s="4"/>
      <c r="L1690" s="4"/>
      <c r="M1690" s="4"/>
      <c r="N1690" s="4"/>
      <c r="O1690" s="6"/>
    </row>
    <row r="1691" spans="2:15" s="46" customFormat="1">
      <c r="B1691" s="3"/>
      <c r="C1691" s="3"/>
      <c r="G1691" s="4"/>
      <c r="H1691" s="4"/>
      <c r="I1691" s="4"/>
      <c r="J1691" s="4"/>
      <c r="K1691" s="4"/>
      <c r="L1691" s="4"/>
      <c r="M1691" s="4"/>
      <c r="N1691" s="4"/>
      <c r="O1691" s="6"/>
    </row>
    <row r="1692" spans="2:15" s="46" customFormat="1">
      <c r="B1692" s="3"/>
      <c r="C1692" s="3"/>
      <c r="G1692" s="4"/>
      <c r="H1692" s="4"/>
      <c r="I1692" s="4"/>
      <c r="J1692" s="4"/>
      <c r="K1692" s="4"/>
      <c r="L1692" s="4"/>
      <c r="M1692" s="4"/>
      <c r="N1692" s="4"/>
      <c r="O1692" s="6"/>
    </row>
    <row r="1693" spans="2:15" s="46" customFormat="1">
      <c r="B1693" s="3"/>
      <c r="C1693" s="3"/>
      <c r="G1693" s="4"/>
      <c r="H1693" s="4"/>
      <c r="I1693" s="4"/>
      <c r="J1693" s="4"/>
      <c r="K1693" s="4"/>
      <c r="L1693" s="4"/>
      <c r="M1693" s="4"/>
      <c r="N1693" s="4"/>
      <c r="O1693" s="6"/>
    </row>
    <row r="1694" spans="2:15" s="46" customFormat="1">
      <c r="B1694" s="3"/>
      <c r="C1694" s="3"/>
      <c r="G1694" s="4"/>
      <c r="H1694" s="4"/>
      <c r="I1694" s="4"/>
      <c r="J1694" s="4"/>
      <c r="K1694" s="4"/>
      <c r="L1694" s="4"/>
      <c r="M1694" s="4"/>
      <c r="N1694" s="4"/>
      <c r="O1694" s="6"/>
    </row>
    <row r="1695" spans="2:15" s="46" customFormat="1">
      <c r="B1695" s="3"/>
      <c r="C1695" s="3"/>
      <c r="G1695" s="4"/>
      <c r="H1695" s="4"/>
      <c r="I1695" s="4"/>
      <c r="J1695" s="4"/>
      <c r="K1695" s="4"/>
      <c r="L1695" s="4"/>
      <c r="M1695" s="4"/>
      <c r="N1695" s="4"/>
      <c r="O1695" s="6"/>
    </row>
    <row r="1696" spans="2:15" s="46" customFormat="1">
      <c r="B1696" s="3"/>
      <c r="C1696" s="3"/>
      <c r="G1696" s="4"/>
      <c r="H1696" s="4"/>
      <c r="I1696" s="4"/>
      <c r="J1696" s="4"/>
      <c r="K1696" s="4"/>
      <c r="L1696" s="4"/>
      <c r="M1696" s="4"/>
      <c r="N1696" s="4"/>
      <c r="O1696" s="6"/>
    </row>
    <row r="1697" spans="2:15" s="46" customFormat="1">
      <c r="B1697" s="3"/>
      <c r="C1697" s="3"/>
      <c r="G1697" s="4"/>
      <c r="H1697" s="4"/>
      <c r="I1697" s="4"/>
      <c r="J1697" s="4"/>
      <c r="K1697" s="4"/>
      <c r="L1697" s="4"/>
      <c r="M1697" s="4"/>
      <c r="N1697" s="4"/>
      <c r="O1697" s="6"/>
    </row>
    <row r="1698" spans="2:15" s="46" customFormat="1">
      <c r="B1698" s="3"/>
      <c r="C1698" s="3"/>
      <c r="G1698" s="4"/>
      <c r="H1698" s="4"/>
      <c r="I1698" s="4"/>
      <c r="J1698" s="4"/>
      <c r="K1698" s="4"/>
      <c r="L1698" s="4"/>
      <c r="M1698" s="4"/>
      <c r="N1698" s="4"/>
      <c r="O1698" s="6"/>
    </row>
    <row r="1699" spans="2:15" s="46" customFormat="1">
      <c r="B1699" s="3"/>
      <c r="C1699" s="3"/>
      <c r="G1699" s="4"/>
      <c r="H1699" s="4"/>
      <c r="I1699" s="4"/>
      <c r="J1699" s="4"/>
      <c r="K1699" s="4"/>
      <c r="L1699" s="4"/>
      <c r="M1699" s="4"/>
      <c r="N1699" s="4"/>
      <c r="O1699" s="6"/>
    </row>
    <row r="1700" spans="2:15" s="46" customFormat="1">
      <c r="B1700" s="3"/>
      <c r="C1700" s="3"/>
      <c r="G1700" s="4"/>
      <c r="H1700" s="4"/>
      <c r="I1700" s="4"/>
      <c r="J1700" s="4"/>
      <c r="K1700" s="4"/>
      <c r="L1700" s="4"/>
      <c r="M1700" s="4"/>
      <c r="N1700" s="4"/>
      <c r="O1700" s="6"/>
    </row>
    <row r="1701" spans="2:15" s="46" customFormat="1">
      <c r="B1701" s="3"/>
      <c r="C1701" s="3"/>
      <c r="G1701" s="4"/>
      <c r="H1701" s="4"/>
      <c r="I1701" s="4"/>
      <c r="J1701" s="4"/>
      <c r="K1701" s="4"/>
      <c r="L1701" s="4"/>
      <c r="M1701" s="4"/>
      <c r="N1701" s="4"/>
      <c r="O1701" s="6"/>
    </row>
    <row r="1702" spans="2:15" s="46" customFormat="1">
      <c r="B1702" s="3"/>
      <c r="C1702" s="3"/>
      <c r="G1702" s="4"/>
      <c r="H1702" s="4"/>
      <c r="I1702" s="4"/>
      <c r="J1702" s="4"/>
      <c r="K1702" s="4"/>
      <c r="L1702" s="4"/>
      <c r="M1702" s="4"/>
      <c r="N1702" s="4"/>
      <c r="O1702" s="6"/>
    </row>
    <row r="1703" spans="2:15" s="46" customFormat="1">
      <c r="B1703" s="3"/>
      <c r="C1703" s="3"/>
      <c r="G1703" s="4"/>
      <c r="H1703" s="4"/>
      <c r="I1703" s="4"/>
      <c r="J1703" s="4"/>
      <c r="K1703" s="4"/>
      <c r="L1703" s="4"/>
      <c r="M1703" s="4"/>
      <c r="N1703" s="4"/>
      <c r="O1703" s="6"/>
    </row>
    <row r="1704" spans="2:15" s="46" customFormat="1">
      <c r="B1704" s="3"/>
      <c r="C1704" s="3"/>
      <c r="G1704" s="4"/>
      <c r="H1704" s="4"/>
      <c r="I1704" s="4"/>
      <c r="J1704" s="4"/>
      <c r="K1704" s="4"/>
      <c r="L1704" s="4"/>
      <c r="M1704" s="4"/>
      <c r="N1704" s="4"/>
      <c r="O1704" s="6"/>
    </row>
    <row r="1705" spans="2:15" s="46" customFormat="1">
      <c r="B1705" s="3"/>
      <c r="C1705" s="3"/>
      <c r="G1705" s="4"/>
      <c r="H1705" s="4"/>
      <c r="I1705" s="4"/>
      <c r="J1705" s="4"/>
      <c r="K1705" s="4"/>
      <c r="L1705" s="4"/>
      <c r="M1705" s="4"/>
      <c r="N1705" s="4"/>
      <c r="O1705" s="6"/>
    </row>
    <row r="1706" spans="2:15" s="46" customFormat="1">
      <c r="B1706" s="3"/>
      <c r="C1706" s="3"/>
      <c r="G1706" s="4"/>
      <c r="H1706" s="4"/>
      <c r="I1706" s="4"/>
      <c r="J1706" s="4"/>
      <c r="K1706" s="4"/>
      <c r="L1706" s="4"/>
      <c r="M1706" s="4"/>
      <c r="N1706" s="4"/>
      <c r="O1706" s="6"/>
    </row>
    <row r="1707" spans="2:15" s="46" customFormat="1">
      <c r="B1707" s="3"/>
      <c r="C1707" s="3"/>
      <c r="G1707" s="4"/>
      <c r="H1707" s="4"/>
      <c r="I1707" s="4"/>
      <c r="J1707" s="4"/>
      <c r="K1707" s="4"/>
      <c r="L1707" s="4"/>
      <c r="M1707" s="4"/>
      <c r="N1707" s="4"/>
      <c r="O1707" s="6"/>
    </row>
    <row r="1708" spans="2:15" s="46" customFormat="1">
      <c r="B1708" s="3"/>
      <c r="C1708" s="3"/>
      <c r="G1708" s="4"/>
      <c r="H1708" s="4"/>
      <c r="I1708" s="4"/>
      <c r="J1708" s="4"/>
      <c r="K1708" s="4"/>
      <c r="L1708" s="4"/>
      <c r="M1708" s="4"/>
      <c r="N1708" s="4"/>
      <c r="O1708" s="6"/>
    </row>
    <row r="1709" spans="2:15" s="46" customFormat="1">
      <c r="B1709" s="3"/>
      <c r="C1709" s="3"/>
      <c r="G1709" s="4"/>
      <c r="H1709" s="4"/>
      <c r="I1709" s="4"/>
      <c r="J1709" s="4"/>
      <c r="K1709" s="4"/>
      <c r="L1709" s="4"/>
      <c r="M1709" s="4"/>
      <c r="N1709" s="4"/>
      <c r="O1709" s="6"/>
    </row>
    <row r="1710" spans="2:15" s="46" customFormat="1">
      <c r="B1710" s="3"/>
      <c r="C1710" s="3"/>
      <c r="G1710" s="4"/>
      <c r="H1710" s="4"/>
      <c r="I1710" s="4"/>
      <c r="J1710" s="4"/>
      <c r="K1710" s="4"/>
      <c r="L1710" s="4"/>
      <c r="M1710" s="4"/>
      <c r="N1710" s="4"/>
      <c r="O1710" s="6"/>
    </row>
    <row r="1711" spans="2:15" s="46" customFormat="1">
      <c r="B1711" s="3"/>
      <c r="C1711" s="3"/>
      <c r="G1711" s="4"/>
      <c r="H1711" s="4"/>
      <c r="I1711" s="4"/>
      <c r="J1711" s="4"/>
      <c r="K1711" s="4"/>
      <c r="L1711" s="4"/>
      <c r="M1711" s="4"/>
      <c r="N1711" s="4"/>
      <c r="O1711" s="6"/>
    </row>
    <row r="1712" spans="2:15" s="46" customFormat="1">
      <c r="B1712" s="3"/>
      <c r="C1712" s="3"/>
      <c r="G1712" s="4"/>
      <c r="H1712" s="4"/>
      <c r="I1712" s="4"/>
      <c r="J1712" s="4"/>
      <c r="K1712" s="4"/>
      <c r="L1712" s="4"/>
      <c r="M1712" s="4"/>
      <c r="N1712" s="4"/>
      <c r="O1712" s="6"/>
    </row>
    <row r="1713" spans="2:15" s="46" customFormat="1">
      <c r="B1713" s="3"/>
      <c r="C1713" s="3"/>
      <c r="G1713" s="4"/>
      <c r="H1713" s="4"/>
      <c r="I1713" s="4"/>
      <c r="J1713" s="4"/>
      <c r="K1713" s="4"/>
      <c r="L1713" s="4"/>
      <c r="M1713" s="4"/>
      <c r="N1713" s="4"/>
      <c r="O1713" s="6"/>
    </row>
    <row r="1714" spans="2:15" s="46" customFormat="1">
      <c r="B1714" s="3"/>
      <c r="C1714" s="3"/>
      <c r="G1714" s="4"/>
      <c r="H1714" s="4"/>
      <c r="I1714" s="4"/>
      <c r="J1714" s="4"/>
      <c r="K1714" s="4"/>
      <c r="L1714" s="4"/>
      <c r="M1714" s="4"/>
      <c r="N1714" s="4"/>
      <c r="O1714" s="6"/>
    </row>
    <row r="1715" spans="2:15" s="46" customFormat="1">
      <c r="B1715" s="3"/>
      <c r="C1715" s="3"/>
      <c r="G1715" s="4"/>
      <c r="H1715" s="4"/>
      <c r="I1715" s="4"/>
      <c r="J1715" s="4"/>
      <c r="K1715" s="4"/>
      <c r="L1715" s="4"/>
      <c r="M1715" s="4"/>
      <c r="N1715" s="4"/>
      <c r="O1715" s="6"/>
    </row>
    <row r="1716" spans="2:15" s="46" customFormat="1">
      <c r="B1716" s="3"/>
      <c r="C1716" s="3"/>
      <c r="G1716" s="4"/>
      <c r="H1716" s="4"/>
      <c r="I1716" s="4"/>
      <c r="J1716" s="4"/>
      <c r="K1716" s="4"/>
      <c r="L1716" s="4"/>
      <c r="M1716" s="4"/>
      <c r="N1716" s="4"/>
      <c r="O1716" s="6"/>
    </row>
    <row r="1717" spans="2:15" s="46" customFormat="1">
      <c r="B1717" s="3"/>
      <c r="C1717" s="3"/>
      <c r="G1717" s="4"/>
      <c r="H1717" s="4"/>
      <c r="I1717" s="4"/>
      <c r="J1717" s="4"/>
      <c r="K1717" s="4"/>
      <c r="L1717" s="4"/>
      <c r="M1717" s="4"/>
      <c r="N1717" s="4"/>
      <c r="O1717" s="6"/>
    </row>
    <row r="1718" spans="2:15" s="46" customFormat="1">
      <c r="B1718" s="3"/>
      <c r="C1718" s="3"/>
      <c r="G1718" s="4"/>
      <c r="H1718" s="4"/>
      <c r="I1718" s="4"/>
      <c r="J1718" s="4"/>
      <c r="K1718" s="4"/>
      <c r="L1718" s="4"/>
      <c r="M1718" s="4"/>
      <c r="N1718" s="4"/>
      <c r="O1718" s="6"/>
    </row>
    <row r="1719" spans="2:15" s="46" customFormat="1">
      <c r="B1719" s="3"/>
      <c r="C1719" s="3"/>
      <c r="G1719" s="4"/>
      <c r="H1719" s="4"/>
      <c r="I1719" s="4"/>
      <c r="J1719" s="4"/>
      <c r="K1719" s="4"/>
      <c r="L1719" s="4"/>
      <c r="M1719" s="4"/>
      <c r="N1719" s="4"/>
      <c r="O1719" s="6"/>
    </row>
    <row r="1720" spans="2:15" s="46" customFormat="1">
      <c r="B1720" s="3"/>
      <c r="C1720" s="3"/>
      <c r="G1720" s="4"/>
      <c r="H1720" s="4"/>
      <c r="I1720" s="4"/>
      <c r="J1720" s="4"/>
      <c r="K1720" s="4"/>
      <c r="L1720" s="4"/>
      <c r="M1720" s="4"/>
      <c r="N1720" s="4"/>
      <c r="O1720" s="6"/>
    </row>
    <row r="1721" spans="2:15" s="46" customFormat="1">
      <c r="B1721" s="3"/>
      <c r="C1721" s="3"/>
      <c r="G1721" s="4"/>
      <c r="H1721" s="4"/>
      <c r="I1721" s="4"/>
      <c r="J1721" s="4"/>
      <c r="K1721" s="4"/>
      <c r="L1721" s="4"/>
      <c r="M1721" s="4"/>
      <c r="N1721" s="4"/>
      <c r="O1721" s="6"/>
    </row>
    <row r="1722" spans="2:15" s="46" customFormat="1">
      <c r="B1722" s="3"/>
      <c r="C1722" s="3"/>
      <c r="G1722" s="4"/>
      <c r="H1722" s="4"/>
      <c r="I1722" s="4"/>
      <c r="J1722" s="4"/>
      <c r="K1722" s="4"/>
      <c r="L1722" s="4"/>
      <c r="M1722" s="4"/>
      <c r="N1722" s="4"/>
      <c r="O1722" s="6"/>
    </row>
    <row r="1723" spans="2:15" s="46" customFormat="1">
      <c r="B1723" s="3"/>
      <c r="C1723" s="3"/>
      <c r="G1723" s="4"/>
      <c r="H1723" s="4"/>
      <c r="I1723" s="4"/>
      <c r="J1723" s="4"/>
      <c r="K1723" s="4"/>
      <c r="L1723" s="4"/>
      <c r="M1723" s="4"/>
      <c r="N1723" s="4"/>
      <c r="O1723" s="6"/>
    </row>
    <row r="1724" spans="2:15" s="46" customFormat="1">
      <c r="B1724" s="3"/>
      <c r="C1724" s="3"/>
      <c r="G1724" s="4"/>
      <c r="H1724" s="4"/>
      <c r="I1724" s="4"/>
      <c r="J1724" s="4"/>
      <c r="K1724" s="4"/>
      <c r="L1724" s="4"/>
      <c r="M1724" s="4"/>
      <c r="N1724" s="4"/>
      <c r="O1724" s="6"/>
    </row>
    <row r="1725" spans="2:15" s="46" customFormat="1">
      <c r="B1725" s="3"/>
      <c r="C1725" s="3"/>
      <c r="G1725" s="4"/>
      <c r="H1725" s="4"/>
      <c r="I1725" s="4"/>
      <c r="J1725" s="4"/>
      <c r="K1725" s="4"/>
      <c r="L1725" s="4"/>
      <c r="M1725" s="4"/>
      <c r="N1725" s="4"/>
      <c r="O1725" s="6"/>
    </row>
    <row r="1726" spans="2:15" s="46" customFormat="1">
      <c r="B1726" s="3"/>
      <c r="C1726" s="3"/>
      <c r="G1726" s="4"/>
      <c r="H1726" s="4"/>
      <c r="I1726" s="4"/>
      <c r="J1726" s="4"/>
      <c r="K1726" s="4"/>
      <c r="L1726" s="4"/>
      <c r="M1726" s="4"/>
      <c r="N1726" s="4"/>
      <c r="O1726" s="6"/>
    </row>
    <row r="1727" spans="2:15" s="46" customFormat="1">
      <c r="B1727" s="3"/>
      <c r="C1727" s="3"/>
      <c r="G1727" s="4"/>
      <c r="H1727" s="4"/>
      <c r="I1727" s="4"/>
      <c r="J1727" s="4"/>
      <c r="K1727" s="4"/>
      <c r="L1727" s="4"/>
      <c r="M1727" s="4"/>
      <c r="N1727" s="4"/>
      <c r="O1727" s="6"/>
    </row>
    <row r="1728" spans="2:15" s="46" customFormat="1">
      <c r="B1728" s="3"/>
      <c r="C1728" s="3"/>
      <c r="G1728" s="4"/>
      <c r="H1728" s="4"/>
      <c r="I1728" s="4"/>
      <c r="J1728" s="4"/>
      <c r="K1728" s="4"/>
      <c r="L1728" s="4"/>
      <c r="M1728" s="4"/>
      <c r="N1728" s="4"/>
      <c r="O1728" s="6"/>
    </row>
    <row r="1729" spans="2:15" s="46" customFormat="1">
      <c r="B1729" s="3"/>
      <c r="C1729" s="3"/>
      <c r="G1729" s="4"/>
      <c r="H1729" s="4"/>
      <c r="I1729" s="4"/>
      <c r="J1729" s="4"/>
      <c r="K1729" s="4"/>
      <c r="L1729" s="4"/>
      <c r="M1729" s="4"/>
      <c r="N1729" s="4"/>
      <c r="O1729" s="6"/>
    </row>
    <row r="1730" spans="2:15" s="46" customFormat="1">
      <c r="B1730" s="3"/>
      <c r="C1730" s="3"/>
      <c r="G1730" s="4"/>
      <c r="H1730" s="4"/>
      <c r="I1730" s="4"/>
      <c r="J1730" s="4"/>
      <c r="K1730" s="4"/>
      <c r="L1730" s="4"/>
      <c r="M1730" s="4"/>
      <c r="N1730" s="4"/>
      <c r="O1730" s="6"/>
    </row>
    <row r="1731" spans="2:15" s="46" customFormat="1">
      <c r="B1731" s="3"/>
      <c r="C1731" s="3"/>
      <c r="G1731" s="4"/>
      <c r="H1731" s="4"/>
      <c r="I1731" s="4"/>
      <c r="J1731" s="4"/>
      <c r="K1731" s="4"/>
      <c r="L1731" s="4"/>
      <c r="M1731" s="4"/>
      <c r="N1731" s="4"/>
      <c r="O1731" s="6"/>
    </row>
    <row r="1732" spans="2:15" s="46" customFormat="1">
      <c r="B1732" s="3"/>
      <c r="C1732" s="3"/>
      <c r="G1732" s="4"/>
      <c r="H1732" s="4"/>
      <c r="I1732" s="4"/>
      <c r="J1732" s="4"/>
      <c r="K1732" s="4"/>
      <c r="L1732" s="4"/>
      <c r="M1732" s="4"/>
      <c r="N1732" s="4"/>
      <c r="O1732" s="6"/>
    </row>
    <row r="1733" spans="2:15" s="46" customFormat="1">
      <c r="B1733" s="3"/>
      <c r="C1733" s="3"/>
      <c r="G1733" s="4"/>
      <c r="H1733" s="4"/>
      <c r="I1733" s="4"/>
      <c r="J1733" s="4"/>
      <c r="K1733" s="4"/>
      <c r="L1733" s="4"/>
      <c r="M1733" s="4"/>
      <c r="N1733" s="4"/>
      <c r="O1733" s="6"/>
    </row>
    <row r="1734" spans="2:15" s="46" customFormat="1">
      <c r="B1734" s="3"/>
      <c r="C1734" s="3"/>
      <c r="G1734" s="4"/>
      <c r="H1734" s="4"/>
      <c r="I1734" s="4"/>
      <c r="J1734" s="4"/>
      <c r="K1734" s="4"/>
      <c r="L1734" s="4"/>
      <c r="M1734" s="4"/>
      <c r="N1734" s="4"/>
      <c r="O1734" s="6"/>
    </row>
    <row r="1735" spans="2:15" s="46" customFormat="1">
      <c r="B1735" s="3"/>
      <c r="C1735" s="3"/>
      <c r="G1735" s="4"/>
      <c r="H1735" s="4"/>
      <c r="I1735" s="4"/>
      <c r="J1735" s="4"/>
      <c r="K1735" s="4"/>
      <c r="L1735" s="4"/>
      <c r="M1735" s="4"/>
      <c r="N1735" s="4"/>
      <c r="O1735" s="6"/>
    </row>
    <row r="1736" spans="2:15" s="46" customFormat="1">
      <c r="B1736" s="3"/>
      <c r="C1736" s="3"/>
      <c r="G1736" s="4"/>
      <c r="H1736" s="4"/>
      <c r="I1736" s="4"/>
      <c r="J1736" s="4"/>
      <c r="K1736" s="4"/>
      <c r="L1736" s="4"/>
      <c r="M1736" s="4"/>
      <c r="N1736" s="4"/>
      <c r="O1736" s="6"/>
    </row>
    <row r="1737" spans="2:15" s="46" customFormat="1">
      <c r="B1737" s="3"/>
      <c r="C1737" s="3"/>
      <c r="G1737" s="4"/>
      <c r="H1737" s="4"/>
      <c r="I1737" s="4"/>
      <c r="J1737" s="4"/>
      <c r="K1737" s="4"/>
      <c r="L1737" s="4"/>
      <c r="M1737" s="4"/>
      <c r="N1737" s="4"/>
      <c r="O1737" s="6"/>
    </row>
    <row r="1738" spans="2:15" s="46" customFormat="1">
      <c r="B1738" s="3"/>
      <c r="C1738" s="3"/>
      <c r="G1738" s="4"/>
      <c r="H1738" s="4"/>
      <c r="I1738" s="4"/>
      <c r="J1738" s="4"/>
      <c r="K1738" s="4"/>
      <c r="L1738" s="4"/>
      <c r="M1738" s="4"/>
      <c r="N1738" s="4"/>
      <c r="O1738" s="6"/>
    </row>
    <row r="1739" spans="2:15" s="46" customFormat="1">
      <c r="B1739" s="3"/>
      <c r="C1739" s="3"/>
      <c r="G1739" s="4"/>
      <c r="H1739" s="4"/>
      <c r="I1739" s="4"/>
      <c r="J1739" s="4"/>
      <c r="K1739" s="4"/>
      <c r="L1739" s="4"/>
      <c r="M1739" s="4"/>
      <c r="N1739" s="4"/>
      <c r="O1739" s="6"/>
    </row>
    <row r="1740" spans="2:15" s="46" customFormat="1">
      <c r="B1740" s="3"/>
      <c r="C1740" s="3"/>
      <c r="G1740" s="4"/>
      <c r="H1740" s="4"/>
      <c r="I1740" s="4"/>
      <c r="J1740" s="4"/>
      <c r="K1740" s="4"/>
      <c r="L1740" s="4"/>
      <c r="M1740" s="4"/>
      <c r="N1740" s="4"/>
      <c r="O1740" s="6"/>
    </row>
    <row r="1741" spans="2:15" s="46" customFormat="1">
      <c r="B1741" s="3"/>
      <c r="C1741" s="3"/>
      <c r="G1741" s="4"/>
      <c r="H1741" s="4"/>
      <c r="I1741" s="4"/>
      <c r="J1741" s="4"/>
      <c r="K1741" s="4"/>
      <c r="L1741" s="4"/>
      <c r="M1741" s="4"/>
      <c r="N1741" s="4"/>
      <c r="O1741" s="6"/>
    </row>
    <row r="1742" spans="2:15" s="46" customFormat="1">
      <c r="B1742" s="3"/>
      <c r="C1742" s="3"/>
      <c r="G1742" s="4"/>
      <c r="H1742" s="4"/>
      <c r="I1742" s="4"/>
      <c r="J1742" s="4"/>
      <c r="K1742" s="4"/>
      <c r="L1742" s="4"/>
      <c r="M1742" s="4"/>
      <c r="N1742" s="4"/>
      <c r="O1742" s="6"/>
    </row>
    <row r="1743" spans="2:15" s="46" customFormat="1">
      <c r="B1743" s="3"/>
      <c r="C1743" s="3"/>
      <c r="G1743" s="4"/>
      <c r="H1743" s="4"/>
      <c r="I1743" s="4"/>
      <c r="J1743" s="4"/>
      <c r="K1743" s="4"/>
      <c r="L1743" s="4"/>
      <c r="M1743" s="4"/>
      <c r="N1743" s="4"/>
      <c r="O1743" s="6"/>
    </row>
    <row r="1744" spans="2:15" s="46" customFormat="1">
      <c r="B1744" s="3"/>
      <c r="C1744" s="3"/>
      <c r="G1744" s="4"/>
      <c r="H1744" s="4"/>
      <c r="I1744" s="4"/>
      <c r="J1744" s="4"/>
      <c r="K1744" s="4"/>
      <c r="L1744" s="4"/>
      <c r="M1744" s="4"/>
      <c r="N1744" s="4"/>
      <c r="O1744" s="6"/>
    </row>
    <row r="1745" spans="2:15" s="46" customFormat="1">
      <c r="B1745" s="3"/>
      <c r="C1745" s="3"/>
      <c r="G1745" s="4"/>
      <c r="H1745" s="4"/>
      <c r="I1745" s="4"/>
      <c r="J1745" s="4"/>
      <c r="K1745" s="4"/>
      <c r="L1745" s="4"/>
      <c r="M1745" s="4"/>
      <c r="N1745" s="4"/>
      <c r="O1745" s="6"/>
    </row>
    <row r="1746" spans="2:15" s="46" customFormat="1">
      <c r="B1746" s="3"/>
      <c r="C1746" s="3"/>
      <c r="G1746" s="4"/>
      <c r="H1746" s="4"/>
      <c r="I1746" s="4"/>
      <c r="J1746" s="4"/>
      <c r="K1746" s="4"/>
      <c r="L1746" s="4"/>
      <c r="M1746" s="4"/>
      <c r="N1746" s="4"/>
      <c r="O1746" s="6"/>
    </row>
    <row r="1747" spans="2:15" s="46" customFormat="1">
      <c r="B1747" s="3"/>
      <c r="C1747" s="3"/>
      <c r="G1747" s="4"/>
      <c r="H1747" s="4"/>
      <c r="I1747" s="4"/>
      <c r="J1747" s="4"/>
      <c r="K1747" s="4"/>
      <c r="L1747" s="4"/>
      <c r="M1747" s="4"/>
      <c r="N1747" s="4"/>
      <c r="O1747" s="6"/>
    </row>
    <row r="1748" spans="2:15" s="46" customFormat="1">
      <c r="B1748" s="3"/>
      <c r="C1748" s="3"/>
      <c r="G1748" s="4"/>
      <c r="H1748" s="4"/>
      <c r="I1748" s="4"/>
      <c r="J1748" s="4"/>
      <c r="K1748" s="4"/>
      <c r="L1748" s="4"/>
      <c r="M1748" s="4"/>
      <c r="N1748" s="4"/>
      <c r="O1748" s="6"/>
    </row>
    <row r="1749" spans="2:15" s="46" customFormat="1">
      <c r="B1749" s="3"/>
      <c r="C1749" s="3"/>
      <c r="G1749" s="4"/>
      <c r="H1749" s="4"/>
      <c r="I1749" s="4"/>
      <c r="J1749" s="4"/>
      <c r="K1749" s="4"/>
      <c r="L1749" s="4"/>
      <c r="M1749" s="4"/>
      <c r="N1749" s="4"/>
      <c r="O1749" s="6"/>
    </row>
    <row r="1750" spans="2:15" s="46" customFormat="1">
      <c r="B1750" s="3"/>
      <c r="C1750" s="3"/>
      <c r="G1750" s="4"/>
      <c r="H1750" s="4"/>
      <c r="I1750" s="4"/>
      <c r="J1750" s="4"/>
      <c r="K1750" s="4"/>
      <c r="L1750" s="4"/>
      <c r="M1750" s="4"/>
      <c r="N1750" s="4"/>
      <c r="O1750" s="6"/>
    </row>
    <row r="1751" spans="2:15" s="46" customFormat="1">
      <c r="B1751" s="3"/>
      <c r="C1751" s="3"/>
      <c r="G1751" s="4"/>
      <c r="H1751" s="4"/>
      <c r="I1751" s="4"/>
      <c r="J1751" s="4"/>
      <c r="K1751" s="4"/>
      <c r="L1751" s="4"/>
      <c r="M1751" s="4"/>
      <c r="N1751" s="4"/>
      <c r="O1751" s="6"/>
    </row>
    <row r="1752" spans="2:15" s="46" customFormat="1">
      <c r="B1752" s="3"/>
      <c r="C1752" s="3"/>
      <c r="G1752" s="4"/>
      <c r="H1752" s="4"/>
      <c r="I1752" s="4"/>
      <c r="J1752" s="4"/>
      <c r="K1752" s="4"/>
      <c r="L1752" s="4"/>
      <c r="M1752" s="4"/>
      <c r="N1752" s="4"/>
      <c r="O1752" s="6"/>
    </row>
    <row r="1753" spans="2:15" s="46" customFormat="1">
      <c r="B1753" s="3"/>
      <c r="C1753" s="3"/>
      <c r="G1753" s="4"/>
      <c r="H1753" s="4"/>
      <c r="I1753" s="4"/>
      <c r="J1753" s="4"/>
      <c r="K1753" s="4"/>
      <c r="L1753" s="4"/>
      <c r="M1753" s="4"/>
      <c r="N1753" s="4"/>
      <c r="O1753" s="6"/>
    </row>
    <row r="1754" spans="2:15" s="46" customFormat="1">
      <c r="B1754" s="3"/>
      <c r="C1754" s="3"/>
      <c r="G1754" s="4"/>
      <c r="H1754" s="4"/>
      <c r="I1754" s="4"/>
      <c r="J1754" s="4"/>
      <c r="K1754" s="4"/>
      <c r="L1754" s="4"/>
      <c r="M1754" s="4"/>
      <c r="N1754" s="4"/>
      <c r="O1754" s="6"/>
    </row>
    <row r="1755" spans="2:15" s="46" customFormat="1">
      <c r="B1755" s="3"/>
      <c r="C1755" s="3"/>
      <c r="G1755" s="4"/>
      <c r="H1755" s="4"/>
      <c r="I1755" s="4"/>
      <c r="J1755" s="4"/>
      <c r="K1755" s="4"/>
      <c r="L1755" s="4"/>
      <c r="M1755" s="4"/>
      <c r="N1755" s="4"/>
      <c r="O1755" s="6"/>
    </row>
    <row r="1756" spans="2:15" s="46" customFormat="1">
      <c r="B1756" s="3"/>
      <c r="C1756" s="3"/>
      <c r="G1756" s="4"/>
      <c r="H1756" s="4"/>
      <c r="I1756" s="4"/>
      <c r="J1756" s="4"/>
      <c r="K1756" s="4"/>
      <c r="L1756" s="4"/>
      <c r="M1756" s="4"/>
      <c r="N1756" s="4"/>
      <c r="O1756" s="6"/>
    </row>
    <row r="1757" spans="2:15" s="46" customFormat="1">
      <c r="B1757" s="3"/>
      <c r="C1757" s="3"/>
      <c r="G1757" s="4"/>
      <c r="H1757" s="4"/>
      <c r="I1757" s="4"/>
      <c r="J1757" s="4"/>
      <c r="K1757" s="4"/>
      <c r="L1757" s="4"/>
      <c r="M1757" s="4"/>
      <c r="N1757" s="4"/>
      <c r="O1757" s="6"/>
    </row>
    <row r="1758" spans="2:15" s="46" customFormat="1">
      <c r="B1758" s="3"/>
      <c r="C1758" s="3"/>
      <c r="G1758" s="4"/>
      <c r="H1758" s="4"/>
      <c r="I1758" s="4"/>
      <c r="J1758" s="4"/>
      <c r="K1758" s="4"/>
      <c r="L1758" s="4"/>
      <c r="M1758" s="4"/>
      <c r="N1758" s="4"/>
      <c r="O1758" s="6"/>
    </row>
    <row r="1759" spans="2:15" s="46" customFormat="1">
      <c r="B1759" s="3"/>
      <c r="C1759" s="3"/>
      <c r="G1759" s="4"/>
      <c r="H1759" s="4"/>
      <c r="I1759" s="4"/>
      <c r="J1759" s="4"/>
      <c r="K1759" s="4"/>
      <c r="L1759" s="4"/>
      <c r="M1759" s="4"/>
      <c r="N1759" s="4"/>
      <c r="O1759" s="6"/>
    </row>
    <row r="1760" spans="2:15" s="46" customFormat="1">
      <c r="B1760" s="3"/>
      <c r="C1760" s="3"/>
      <c r="G1760" s="4"/>
      <c r="H1760" s="4"/>
      <c r="I1760" s="4"/>
      <c r="J1760" s="4"/>
      <c r="K1760" s="4"/>
      <c r="L1760" s="4"/>
      <c r="M1760" s="4"/>
      <c r="N1760" s="4"/>
      <c r="O1760" s="6"/>
    </row>
    <row r="1761" spans="2:15" s="46" customFormat="1">
      <c r="B1761" s="3"/>
      <c r="C1761" s="3"/>
      <c r="G1761" s="4"/>
      <c r="H1761" s="4"/>
      <c r="I1761" s="4"/>
      <c r="J1761" s="4"/>
      <c r="K1761" s="4"/>
      <c r="L1761" s="4"/>
      <c r="M1761" s="4"/>
      <c r="N1761" s="4"/>
      <c r="O1761" s="6"/>
    </row>
    <row r="1762" spans="2:15" s="46" customFormat="1">
      <c r="B1762" s="3"/>
      <c r="C1762" s="3"/>
      <c r="G1762" s="4"/>
      <c r="H1762" s="4"/>
      <c r="I1762" s="4"/>
      <c r="J1762" s="4"/>
      <c r="K1762" s="4"/>
      <c r="L1762" s="4"/>
      <c r="M1762" s="4"/>
      <c r="N1762" s="4"/>
      <c r="O1762" s="6"/>
    </row>
    <row r="1763" spans="2:15" s="46" customFormat="1">
      <c r="B1763" s="3"/>
      <c r="C1763" s="3"/>
      <c r="G1763" s="4"/>
      <c r="H1763" s="4"/>
      <c r="I1763" s="4"/>
      <c r="J1763" s="4"/>
      <c r="K1763" s="4"/>
      <c r="L1763" s="4"/>
      <c r="M1763" s="4"/>
      <c r="N1763" s="4"/>
      <c r="O1763" s="6"/>
    </row>
    <row r="1764" spans="2:15" s="46" customFormat="1">
      <c r="B1764" s="3"/>
      <c r="C1764" s="3"/>
      <c r="G1764" s="4"/>
      <c r="H1764" s="4"/>
      <c r="I1764" s="4"/>
      <c r="J1764" s="4"/>
      <c r="K1764" s="4"/>
      <c r="L1764" s="4"/>
      <c r="M1764" s="4"/>
      <c r="N1764" s="4"/>
      <c r="O1764" s="6"/>
    </row>
    <row r="1765" spans="2:15" s="46" customFormat="1">
      <c r="B1765" s="3"/>
      <c r="C1765" s="3"/>
      <c r="G1765" s="4"/>
      <c r="H1765" s="4"/>
      <c r="I1765" s="4"/>
      <c r="J1765" s="4"/>
      <c r="K1765" s="4"/>
      <c r="L1765" s="4"/>
      <c r="M1765" s="4"/>
      <c r="N1765" s="4"/>
      <c r="O1765" s="6"/>
    </row>
    <row r="1766" spans="2:15" s="46" customFormat="1">
      <c r="B1766" s="3"/>
      <c r="C1766" s="3"/>
      <c r="G1766" s="4"/>
      <c r="H1766" s="4"/>
      <c r="I1766" s="4"/>
      <c r="J1766" s="4"/>
      <c r="K1766" s="4"/>
      <c r="L1766" s="4"/>
      <c r="M1766" s="4"/>
      <c r="N1766" s="4"/>
      <c r="O1766" s="6"/>
    </row>
    <row r="1767" spans="2:15" s="46" customFormat="1">
      <c r="B1767" s="3"/>
      <c r="C1767" s="3"/>
      <c r="G1767" s="4"/>
      <c r="H1767" s="4"/>
      <c r="I1767" s="4"/>
      <c r="J1767" s="4"/>
      <c r="K1767" s="4"/>
      <c r="L1767" s="4"/>
      <c r="M1767" s="4"/>
      <c r="N1767" s="4"/>
      <c r="O1767" s="6"/>
    </row>
    <row r="1768" spans="2:15" s="46" customFormat="1">
      <c r="B1768" s="3"/>
      <c r="C1768" s="3"/>
      <c r="G1768" s="4"/>
      <c r="H1768" s="4"/>
      <c r="I1768" s="4"/>
      <c r="J1768" s="4"/>
      <c r="K1768" s="4"/>
      <c r="L1768" s="4"/>
      <c r="M1768" s="4"/>
      <c r="N1768" s="4"/>
      <c r="O1768" s="6"/>
    </row>
    <row r="1769" spans="2:15" s="46" customFormat="1">
      <c r="B1769" s="3"/>
      <c r="C1769" s="3"/>
      <c r="G1769" s="4"/>
      <c r="H1769" s="4"/>
      <c r="I1769" s="4"/>
      <c r="J1769" s="4"/>
      <c r="K1769" s="4"/>
      <c r="L1769" s="4"/>
      <c r="M1769" s="4"/>
      <c r="N1769" s="4"/>
      <c r="O1769" s="6"/>
    </row>
    <row r="1770" spans="2:15" s="46" customFormat="1">
      <c r="B1770" s="3"/>
      <c r="C1770" s="3"/>
      <c r="G1770" s="4"/>
      <c r="H1770" s="4"/>
      <c r="I1770" s="4"/>
      <c r="J1770" s="4"/>
      <c r="K1770" s="4"/>
      <c r="L1770" s="4"/>
      <c r="M1770" s="4"/>
      <c r="N1770" s="4"/>
      <c r="O1770" s="6"/>
    </row>
    <row r="1771" spans="2:15" s="46" customFormat="1">
      <c r="B1771" s="3"/>
      <c r="C1771" s="3"/>
      <c r="G1771" s="4"/>
      <c r="H1771" s="4"/>
      <c r="I1771" s="4"/>
      <c r="J1771" s="4"/>
      <c r="K1771" s="4"/>
      <c r="L1771" s="4"/>
      <c r="M1771" s="4"/>
      <c r="N1771" s="4"/>
      <c r="O1771" s="6"/>
    </row>
    <row r="1772" spans="2:15" s="46" customFormat="1">
      <c r="B1772" s="3"/>
      <c r="C1772" s="3"/>
      <c r="G1772" s="4"/>
      <c r="H1772" s="4"/>
      <c r="I1772" s="4"/>
      <c r="J1772" s="4"/>
      <c r="K1772" s="4"/>
      <c r="L1772" s="4"/>
      <c r="M1772" s="4"/>
      <c r="N1772" s="4"/>
      <c r="O1772" s="6"/>
    </row>
    <row r="1773" spans="2:15" s="46" customFormat="1">
      <c r="B1773" s="3"/>
      <c r="C1773" s="3"/>
      <c r="G1773" s="4"/>
      <c r="H1773" s="4"/>
      <c r="I1773" s="4"/>
      <c r="J1773" s="4"/>
      <c r="K1773" s="4"/>
      <c r="L1773" s="4"/>
      <c r="M1773" s="4"/>
      <c r="N1773" s="4"/>
      <c r="O1773" s="6"/>
    </row>
    <row r="1774" spans="2:15" s="46" customFormat="1">
      <c r="B1774" s="3"/>
      <c r="C1774" s="3"/>
      <c r="G1774" s="4"/>
      <c r="H1774" s="4"/>
      <c r="I1774" s="4"/>
      <c r="J1774" s="4"/>
      <c r="K1774" s="4"/>
      <c r="L1774" s="4"/>
      <c r="M1774" s="4"/>
      <c r="N1774" s="4"/>
      <c r="O1774" s="6"/>
    </row>
    <row r="1775" spans="2:15" s="46" customFormat="1">
      <c r="B1775" s="3"/>
      <c r="C1775" s="3"/>
      <c r="G1775" s="4"/>
      <c r="H1775" s="4"/>
      <c r="I1775" s="4"/>
      <c r="J1775" s="4"/>
      <c r="K1775" s="4"/>
      <c r="L1775" s="4"/>
      <c r="M1775" s="4"/>
      <c r="N1775" s="4"/>
      <c r="O1775" s="6"/>
    </row>
    <row r="1776" spans="2:15" s="46" customFormat="1">
      <c r="B1776" s="3"/>
      <c r="C1776" s="3"/>
      <c r="G1776" s="4"/>
      <c r="H1776" s="4"/>
      <c r="I1776" s="4"/>
      <c r="J1776" s="4"/>
      <c r="K1776" s="4"/>
      <c r="L1776" s="4"/>
      <c r="M1776" s="4"/>
      <c r="N1776" s="4"/>
      <c r="O1776" s="6"/>
    </row>
    <row r="1777" spans="2:15" s="46" customFormat="1">
      <c r="B1777" s="3"/>
      <c r="C1777" s="3"/>
      <c r="G1777" s="4"/>
      <c r="H1777" s="4"/>
      <c r="I1777" s="4"/>
      <c r="J1777" s="4"/>
      <c r="K1777" s="4"/>
      <c r="L1777" s="4"/>
      <c r="M1777" s="4"/>
      <c r="N1777" s="4"/>
      <c r="O1777" s="6"/>
    </row>
    <row r="1778" spans="2:15" s="46" customFormat="1">
      <c r="B1778" s="3"/>
      <c r="C1778" s="3"/>
      <c r="G1778" s="4"/>
      <c r="H1778" s="4"/>
      <c r="I1778" s="4"/>
      <c r="J1778" s="4"/>
      <c r="K1778" s="4"/>
      <c r="L1778" s="4"/>
      <c r="M1778" s="4"/>
      <c r="N1778" s="4"/>
      <c r="O1778" s="6"/>
    </row>
    <row r="1779" spans="2:15" s="46" customFormat="1">
      <c r="B1779" s="3"/>
      <c r="C1779" s="3"/>
      <c r="G1779" s="4"/>
      <c r="H1779" s="4"/>
      <c r="I1779" s="4"/>
      <c r="J1779" s="4"/>
      <c r="K1779" s="4"/>
      <c r="L1779" s="4"/>
      <c r="M1779" s="4"/>
      <c r="N1779" s="4"/>
      <c r="O1779" s="6"/>
    </row>
    <row r="1780" spans="2:15" s="46" customFormat="1">
      <c r="B1780" s="3"/>
      <c r="C1780" s="3"/>
      <c r="G1780" s="4"/>
      <c r="H1780" s="4"/>
      <c r="I1780" s="4"/>
      <c r="J1780" s="4"/>
      <c r="K1780" s="4"/>
      <c r="L1780" s="4"/>
      <c r="M1780" s="4"/>
      <c r="N1780" s="4"/>
      <c r="O1780" s="6"/>
    </row>
    <row r="1781" spans="2:15" s="46" customFormat="1">
      <c r="B1781" s="3"/>
      <c r="C1781" s="3"/>
      <c r="G1781" s="4"/>
      <c r="H1781" s="4"/>
      <c r="I1781" s="4"/>
      <c r="J1781" s="4"/>
      <c r="K1781" s="4"/>
      <c r="L1781" s="4"/>
      <c r="M1781" s="4"/>
      <c r="N1781" s="4"/>
      <c r="O1781" s="6"/>
    </row>
    <row r="1782" spans="2:15" s="46" customFormat="1">
      <c r="B1782" s="3"/>
      <c r="C1782" s="3"/>
      <c r="G1782" s="4"/>
      <c r="H1782" s="4"/>
      <c r="I1782" s="4"/>
      <c r="J1782" s="4"/>
      <c r="K1782" s="4"/>
      <c r="L1782" s="4"/>
      <c r="M1782" s="4"/>
      <c r="N1782" s="4"/>
      <c r="O1782" s="6"/>
    </row>
    <row r="1783" spans="2:15" s="46" customFormat="1">
      <c r="B1783" s="3"/>
      <c r="C1783" s="3"/>
      <c r="G1783" s="4"/>
      <c r="H1783" s="4"/>
      <c r="I1783" s="4"/>
      <c r="J1783" s="4"/>
      <c r="K1783" s="4"/>
      <c r="L1783" s="4"/>
      <c r="M1783" s="4"/>
      <c r="N1783" s="4"/>
      <c r="O1783" s="6"/>
    </row>
    <row r="1784" spans="2:15" s="46" customFormat="1">
      <c r="B1784" s="3"/>
      <c r="C1784" s="3"/>
      <c r="G1784" s="4"/>
      <c r="H1784" s="4"/>
      <c r="I1784" s="4"/>
      <c r="J1784" s="4"/>
      <c r="K1784" s="4"/>
      <c r="L1784" s="4"/>
      <c r="M1784" s="4"/>
      <c r="N1784" s="4"/>
      <c r="O1784" s="6"/>
    </row>
    <row r="1785" spans="2:15" s="46" customFormat="1">
      <c r="B1785" s="3"/>
      <c r="C1785" s="3"/>
      <c r="G1785" s="4"/>
      <c r="H1785" s="4"/>
      <c r="I1785" s="4"/>
      <c r="J1785" s="4"/>
      <c r="K1785" s="4"/>
      <c r="L1785" s="4"/>
      <c r="M1785" s="4"/>
      <c r="N1785" s="4"/>
      <c r="O1785" s="6"/>
    </row>
    <row r="1786" spans="2:15" s="46" customFormat="1">
      <c r="B1786" s="3"/>
      <c r="C1786" s="3"/>
      <c r="G1786" s="4"/>
      <c r="H1786" s="4"/>
      <c r="I1786" s="4"/>
      <c r="J1786" s="4"/>
      <c r="K1786" s="4"/>
      <c r="L1786" s="4"/>
      <c r="M1786" s="4"/>
      <c r="N1786" s="4"/>
      <c r="O1786" s="6"/>
    </row>
    <row r="1787" spans="2:15" s="46" customFormat="1">
      <c r="B1787" s="3"/>
      <c r="C1787" s="3"/>
      <c r="G1787" s="4"/>
      <c r="H1787" s="4"/>
      <c r="I1787" s="4"/>
      <c r="J1787" s="4"/>
      <c r="K1787" s="4"/>
      <c r="L1787" s="4"/>
      <c r="M1787" s="4"/>
      <c r="N1787" s="4"/>
      <c r="O1787" s="6"/>
    </row>
    <row r="1788" spans="2:15" s="46" customFormat="1">
      <c r="B1788" s="3"/>
      <c r="C1788" s="3"/>
      <c r="G1788" s="4"/>
      <c r="H1788" s="4"/>
      <c r="I1788" s="4"/>
      <c r="J1788" s="4"/>
      <c r="K1788" s="4"/>
      <c r="L1788" s="4"/>
      <c r="M1788" s="4"/>
      <c r="N1788" s="4"/>
      <c r="O1788" s="6"/>
    </row>
    <row r="1789" spans="2:15" s="46" customFormat="1">
      <c r="B1789" s="3"/>
      <c r="C1789" s="3"/>
      <c r="G1789" s="4"/>
      <c r="H1789" s="4"/>
      <c r="I1789" s="4"/>
      <c r="J1789" s="4"/>
      <c r="K1789" s="4"/>
      <c r="L1789" s="4"/>
      <c r="M1789" s="4"/>
      <c r="N1789" s="4"/>
      <c r="O1789" s="6"/>
    </row>
    <row r="1790" spans="2:15" s="46" customFormat="1">
      <c r="B1790" s="3"/>
      <c r="C1790" s="3"/>
      <c r="G1790" s="4"/>
      <c r="H1790" s="4"/>
      <c r="I1790" s="4"/>
      <c r="J1790" s="4"/>
      <c r="K1790" s="4"/>
      <c r="L1790" s="4"/>
      <c r="M1790" s="4"/>
      <c r="N1790" s="4"/>
      <c r="O1790" s="6"/>
    </row>
    <row r="1791" spans="2:15" s="46" customFormat="1">
      <c r="B1791" s="3"/>
      <c r="C1791" s="3"/>
      <c r="G1791" s="4"/>
      <c r="H1791" s="4"/>
      <c r="I1791" s="4"/>
      <c r="J1791" s="4"/>
      <c r="K1791" s="4"/>
      <c r="L1791" s="4"/>
      <c r="M1791" s="4"/>
      <c r="N1791" s="4"/>
      <c r="O1791" s="6"/>
    </row>
    <row r="1792" spans="2:15" s="46" customFormat="1">
      <c r="B1792" s="3"/>
      <c r="C1792" s="3"/>
      <c r="G1792" s="4"/>
      <c r="H1792" s="4"/>
      <c r="I1792" s="4"/>
      <c r="J1792" s="4"/>
      <c r="K1792" s="4"/>
      <c r="L1792" s="4"/>
      <c r="M1792" s="4"/>
      <c r="N1792" s="4"/>
      <c r="O1792" s="6"/>
    </row>
    <row r="1793" spans="2:15" s="46" customFormat="1">
      <c r="B1793" s="3"/>
      <c r="C1793" s="3"/>
      <c r="G1793" s="4"/>
      <c r="H1793" s="4"/>
      <c r="I1793" s="4"/>
      <c r="J1793" s="4"/>
      <c r="K1793" s="4"/>
      <c r="L1793" s="4"/>
      <c r="M1793" s="4"/>
      <c r="N1793" s="4"/>
      <c r="O1793" s="6"/>
    </row>
    <row r="1794" spans="2:15" s="46" customFormat="1">
      <c r="B1794" s="3"/>
      <c r="C1794" s="3"/>
      <c r="G1794" s="4"/>
      <c r="H1794" s="4"/>
      <c r="I1794" s="4"/>
      <c r="J1794" s="4"/>
      <c r="K1794" s="4"/>
      <c r="L1794" s="4"/>
      <c r="M1794" s="4"/>
      <c r="N1794" s="4"/>
      <c r="O1794" s="6"/>
    </row>
    <row r="1795" spans="2:15" s="46" customFormat="1">
      <c r="B1795" s="3"/>
      <c r="C1795" s="3"/>
      <c r="G1795" s="4"/>
      <c r="H1795" s="4"/>
      <c r="I1795" s="4"/>
      <c r="J1795" s="4"/>
      <c r="K1795" s="4"/>
      <c r="L1795" s="4"/>
      <c r="M1795" s="4"/>
      <c r="N1795" s="4"/>
      <c r="O1795" s="6"/>
    </row>
    <row r="1796" spans="2:15" s="46" customFormat="1">
      <c r="B1796" s="3"/>
      <c r="C1796" s="3"/>
      <c r="G1796" s="4"/>
      <c r="H1796" s="4"/>
      <c r="I1796" s="4"/>
      <c r="J1796" s="4"/>
      <c r="K1796" s="4"/>
      <c r="L1796" s="4"/>
      <c r="M1796" s="4"/>
      <c r="N1796" s="4"/>
      <c r="O1796" s="6"/>
    </row>
    <row r="1797" spans="2:15" s="46" customFormat="1">
      <c r="B1797" s="3"/>
      <c r="C1797" s="3"/>
      <c r="G1797" s="4"/>
      <c r="H1797" s="4"/>
      <c r="I1797" s="4"/>
      <c r="J1797" s="4"/>
      <c r="K1797" s="4"/>
      <c r="L1797" s="4"/>
      <c r="M1797" s="4"/>
      <c r="N1797" s="4"/>
      <c r="O1797" s="6"/>
    </row>
    <row r="1798" spans="2:15" s="46" customFormat="1">
      <c r="B1798" s="3"/>
      <c r="C1798" s="3"/>
      <c r="G1798" s="4"/>
      <c r="H1798" s="4"/>
      <c r="I1798" s="4"/>
      <c r="J1798" s="4"/>
      <c r="K1798" s="4"/>
      <c r="L1798" s="4"/>
      <c r="M1798" s="4"/>
      <c r="N1798" s="4"/>
      <c r="O1798" s="6"/>
    </row>
    <row r="1799" spans="2:15" s="46" customFormat="1">
      <c r="B1799" s="3"/>
      <c r="C1799" s="3"/>
      <c r="G1799" s="4"/>
      <c r="H1799" s="4"/>
      <c r="I1799" s="4"/>
      <c r="J1799" s="4"/>
      <c r="K1799" s="4"/>
      <c r="L1799" s="4"/>
      <c r="M1799" s="4"/>
      <c r="N1799" s="4"/>
      <c r="O1799" s="6"/>
    </row>
    <row r="1800" spans="2:15" s="46" customFormat="1">
      <c r="B1800" s="3"/>
      <c r="C1800" s="3"/>
      <c r="G1800" s="4"/>
      <c r="H1800" s="4"/>
      <c r="I1800" s="4"/>
      <c r="J1800" s="4"/>
      <c r="K1800" s="4"/>
      <c r="L1800" s="4"/>
      <c r="M1800" s="4"/>
      <c r="N1800" s="4"/>
      <c r="O1800" s="6"/>
    </row>
    <row r="1801" spans="2:15" s="46" customFormat="1">
      <c r="B1801" s="3"/>
      <c r="C1801" s="3"/>
      <c r="G1801" s="4"/>
      <c r="H1801" s="4"/>
      <c r="I1801" s="4"/>
      <c r="J1801" s="4"/>
      <c r="K1801" s="4"/>
      <c r="L1801" s="4"/>
      <c r="M1801" s="4"/>
      <c r="N1801" s="4"/>
      <c r="O1801" s="6"/>
    </row>
    <row r="1802" spans="2:15" s="46" customFormat="1">
      <c r="B1802" s="3"/>
      <c r="C1802" s="3"/>
      <c r="G1802" s="4"/>
      <c r="H1802" s="4"/>
      <c r="I1802" s="4"/>
      <c r="J1802" s="4"/>
      <c r="K1802" s="4"/>
      <c r="L1802" s="4"/>
      <c r="M1802" s="4"/>
      <c r="N1802" s="4"/>
      <c r="O1802" s="6"/>
    </row>
    <row r="1803" spans="2:15" s="46" customFormat="1">
      <c r="B1803" s="3"/>
      <c r="C1803" s="3"/>
      <c r="G1803" s="4"/>
      <c r="H1803" s="4"/>
      <c r="I1803" s="4"/>
      <c r="J1803" s="4"/>
      <c r="K1803" s="4"/>
      <c r="L1803" s="4"/>
      <c r="M1803" s="4"/>
      <c r="N1803" s="4"/>
      <c r="O1803" s="6"/>
    </row>
    <row r="1804" spans="2:15" s="46" customFormat="1">
      <c r="B1804" s="3"/>
      <c r="C1804" s="3"/>
      <c r="G1804" s="4"/>
      <c r="H1804" s="4"/>
      <c r="I1804" s="4"/>
      <c r="J1804" s="4"/>
      <c r="K1804" s="4"/>
      <c r="L1804" s="4"/>
      <c r="M1804" s="4"/>
      <c r="N1804" s="4"/>
      <c r="O1804" s="6"/>
    </row>
    <row r="1805" spans="2:15" s="46" customFormat="1">
      <c r="B1805" s="3"/>
      <c r="C1805" s="3"/>
      <c r="G1805" s="4"/>
      <c r="H1805" s="4"/>
      <c r="I1805" s="4"/>
      <c r="J1805" s="4"/>
      <c r="K1805" s="4"/>
      <c r="L1805" s="4"/>
      <c r="M1805" s="4"/>
      <c r="N1805" s="4"/>
      <c r="O1805" s="6"/>
    </row>
    <row r="1806" spans="2:15" s="46" customFormat="1">
      <c r="B1806" s="3"/>
      <c r="C1806" s="3"/>
      <c r="G1806" s="4"/>
      <c r="H1806" s="4"/>
      <c r="I1806" s="4"/>
      <c r="J1806" s="4"/>
      <c r="K1806" s="4"/>
      <c r="L1806" s="4"/>
      <c r="M1806" s="4"/>
      <c r="N1806" s="4"/>
      <c r="O1806" s="6"/>
    </row>
    <row r="1807" spans="2:15" s="46" customFormat="1">
      <c r="B1807" s="3"/>
      <c r="C1807" s="3"/>
      <c r="G1807" s="4"/>
      <c r="H1807" s="4"/>
      <c r="I1807" s="4"/>
      <c r="J1807" s="4"/>
      <c r="K1807" s="4"/>
      <c r="L1807" s="4"/>
      <c r="M1807" s="4"/>
      <c r="N1807" s="4"/>
      <c r="O1807" s="6"/>
    </row>
    <row r="1808" spans="2:15" s="46" customFormat="1">
      <c r="B1808" s="3"/>
      <c r="C1808" s="3"/>
      <c r="G1808" s="4"/>
      <c r="H1808" s="4"/>
      <c r="I1808" s="4"/>
      <c r="J1808" s="4"/>
      <c r="K1808" s="4"/>
      <c r="L1808" s="4"/>
      <c r="M1808" s="4"/>
      <c r="N1808" s="4"/>
      <c r="O1808" s="6"/>
    </row>
    <row r="1809" spans="2:15" s="46" customFormat="1">
      <c r="B1809" s="3"/>
      <c r="C1809" s="3"/>
      <c r="G1809" s="4"/>
      <c r="H1809" s="4"/>
      <c r="I1809" s="4"/>
      <c r="J1809" s="4"/>
      <c r="K1809" s="4"/>
      <c r="L1809" s="4"/>
      <c r="M1809" s="4"/>
      <c r="N1809" s="4"/>
      <c r="O1809" s="6"/>
    </row>
    <row r="1810" spans="2:15" s="46" customFormat="1">
      <c r="B1810" s="3"/>
      <c r="C1810" s="3"/>
      <c r="G1810" s="4"/>
      <c r="H1810" s="4"/>
      <c r="I1810" s="4"/>
      <c r="J1810" s="4"/>
      <c r="K1810" s="4"/>
      <c r="L1810" s="4"/>
      <c r="M1810" s="4"/>
      <c r="N1810" s="4"/>
      <c r="O1810" s="6"/>
    </row>
    <row r="1811" spans="2:15" s="46" customFormat="1">
      <c r="B1811" s="3"/>
      <c r="C1811" s="3"/>
      <c r="G1811" s="4"/>
      <c r="H1811" s="4"/>
      <c r="I1811" s="4"/>
      <c r="J1811" s="4"/>
      <c r="K1811" s="4"/>
      <c r="L1811" s="4"/>
      <c r="M1811" s="4"/>
      <c r="N1811" s="4"/>
      <c r="O1811" s="6"/>
    </row>
    <row r="1812" spans="2:15" s="46" customFormat="1">
      <c r="B1812" s="3"/>
      <c r="C1812" s="3"/>
      <c r="G1812" s="4"/>
      <c r="H1812" s="4"/>
      <c r="I1812" s="4"/>
      <c r="J1812" s="4"/>
      <c r="K1812" s="4"/>
      <c r="L1812" s="4"/>
      <c r="M1812" s="4"/>
      <c r="N1812" s="4"/>
      <c r="O1812" s="6"/>
    </row>
    <row r="1813" spans="2:15" s="46" customFormat="1">
      <c r="B1813" s="3"/>
      <c r="C1813" s="3"/>
      <c r="G1813" s="4"/>
      <c r="H1813" s="4"/>
      <c r="I1813" s="4"/>
      <c r="J1813" s="4"/>
      <c r="K1813" s="4"/>
      <c r="L1813" s="4"/>
      <c r="M1813" s="4"/>
      <c r="N1813" s="4"/>
      <c r="O1813" s="6"/>
    </row>
    <row r="1814" spans="2:15" s="46" customFormat="1">
      <c r="B1814" s="3"/>
      <c r="C1814" s="3"/>
      <c r="G1814" s="4"/>
      <c r="H1814" s="4"/>
      <c r="I1814" s="4"/>
      <c r="J1814" s="4"/>
      <c r="K1814" s="4"/>
      <c r="L1814" s="4"/>
      <c r="M1814" s="4"/>
      <c r="N1814" s="4"/>
      <c r="O1814" s="6"/>
    </row>
    <row r="1815" spans="2:15" s="46" customFormat="1">
      <c r="B1815" s="3"/>
      <c r="C1815" s="3"/>
      <c r="G1815" s="4"/>
      <c r="H1815" s="4"/>
      <c r="I1815" s="4"/>
      <c r="J1815" s="4"/>
      <c r="K1815" s="4"/>
      <c r="L1815" s="4"/>
      <c r="M1815" s="4"/>
      <c r="N1815" s="4"/>
      <c r="O1815" s="6"/>
    </row>
    <row r="1816" spans="2:15" s="46" customFormat="1">
      <c r="B1816" s="3"/>
      <c r="C1816" s="3"/>
      <c r="G1816" s="4"/>
      <c r="H1816" s="4"/>
      <c r="I1816" s="4"/>
      <c r="J1816" s="4"/>
      <c r="K1816" s="4"/>
      <c r="L1816" s="4"/>
      <c r="M1816" s="4"/>
      <c r="N1816" s="4"/>
      <c r="O1816" s="6"/>
    </row>
    <row r="1817" spans="2:15" s="46" customFormat="1">
      <c r="B1817" s="3"/>
      <c r="C1817" s="3"/>
      <c r="G1817" s="4"/>
      <c r="H1817" s="4"/>
      <c r="I1817" s="4"/>
      <c r="J1817" s="4"/>
      <c r="K1817" s="4"/>
      <c r="L1817" s="4"/>
      <c r="M1817" s="4"/>
      <c r="N1817" s="4"/>
      <c r="O1817" s="6"/>
    </row>
    <row r="1818" spans="2:15" s="46" customFormat="1">
      <c r="B1818" s="3"/>
      <c r="C1818" s="3"/>
      <c r="G1818" s="4"/>
      <c r="H1818" s="4"/>
      <c r="I1818" s="4"/>
      <c r="J1818" s="4"/>
      <c r="K1818" s="4"/>
      <c r="L1818" s="4"/>
      <c r="M1818" s="4"/>
      <c r="N1818" s="4"/>
      <c r="O1818" s="6"/>
    </row>
    <row r="1819" spans="2:15" s="46" customFormat="1">
      <c r="B1819" s="3"/>
      <c r="C1819" s="3"/>
      <c r="G1819" s="4"/>
      <c r="H1819" s="4"/>
      <c r="I1819" s="4"/>
      <c r="J1819" s="4"/>
      <c r="K1819" s="4"/>
      <c r="L1819" s="4"/>
      <c r="M1819" s="4"/>
      <c r="N1819" s="4"/>
      <c r="O1819" s="6"/>
    </row>
    <row r="1820" spans="2:15" s="46" customFormat="1">
      <c r="B1820" s="3"/>
      <c r="C1820" s="3"/>
      <c r="G1820" s="4"/>
      <c r="H1820" s="4"/>
      <c r="I1820" s="4"/>
      <c r="J1820" s="4"/>
      <c r="K1820" s="4"/>
      <c r="L1820" s="4"/>
      <c r="M1820" s="4"/>
      <c r="N1820" s="4"/>
      <c r="O1820" s="6"/>
    </row>
    <row r="1821" spans="2:15" s="46" customFormat="1">
      <c r="B1821" s="3"/>
      <c r="C1821" s="3"/>
      <c r="G1821" s="4"/>
      <c r="H1821" s="4"/>
      <c r="I1821" s="4"/>
      <c r="J1821" s="4"/>
      <c r="K1821" s="4"/>
      <c r="L1821" s="4"/>
      <c r="M1821" s="4"/>
      <c r="N1821" s="4"/>
      <c r="O1821" s="6"/>
    </row>
    <row r="1822" spans="2:15" s="46" customFormat="1">
      <c r="B1822" s="3"/>
      <c r="C1822" s="3"/>
      <c r="G1822" s="4"/>
      <c r="H1822" s="4"/>
      <c r="I1822" s="4"/>
      <c r="J1822" s="4"/>
      <c r="K1822" s="4"/>
      <c r="L1822" s="4"/>
      <c r="M1822" s="4"/>
      <c r="N1822" s="4"/>
      <c r="O1822" s="6"/>
    </row>
    <row r="1823" spans="2:15" s="46" customFormat="1">
      <c r="B1823" s="3"/>
      <c r="C1823" s="3"/>
      <c r="G1823" s="4"/>
      <c r="H1823" s="4"/>
      <c r="I1823" s="4"/>
      <c r="J1823" s="4"/>
      <c r="K1823" s="4"/>
      <c r="L1823" s="4"/>
      <c r="M1823" s="4"/>
      <c r="N1823" s="4"/>
      <c r="O1823" s="6"/>
    </row>
    <row r="1824" spans="2:15" s="46" customFormat="1">
      <c r="B1824" s="3"/>
      <c r="C1824" s="3"/>
      <c r="G1824" s="4"/>
      <c r="H1824" s="4"/>
      <c r="I1824" s="4"/>
      <c r="J1824" s="4"/>
      <c r="K1824" s="4"/>
      <c r="L1824" s="4"/>
      <c r="M1824" s="4"/>
      <c r="N1824" s="4"/>
      <c r="O1824" s="6"/>
    </row>
    <row r="1825" spans="2:15" s="46" customFormat="1">
      <c r="B1825" s="3"/>
      <c r="C1825" s="3"/>
      <c r="G1825" s="4"/>
      <c r="H1825" s="4"/>
      <c r="I1825" s="4"/>
      <c r="J1825" s="4"/>
      <c r="K1825" s="4"/>
      <c r="L1825" s="4"/>
      <c r="M1825" s="4"/>
      <c r="N1825" s="4"/>
      <c r="O1825" s="6"/>
    </row>
    <row r="1826" spans="2:15" s="46" customFormat="1">
      <c r="B1826" s="3"/>
      <c r="C1826" s="3"/>
      <c r="G1826" s="4"/>
      <c r="H1826" s="4"/>
      <c r="I1826" s="4"/>
      <c r="J1826" s="4"/>
      <c r="K1826" s="4"/>
      <c r="L1826" s="4"/>
      <c r="M1826" s="4"/>
      <c r="N1826" s="4"/>
      <c r="O1826" s="6"/>
    </row>
    <row r="1827" spans="2:15" s="46" customFormat="1">
      <c r="B1827" s="3"/>
      <c r="C1827" s="3"/>
      <c r="G1827" s="4"/>
      <c r="H1827" s="4"/>
      <c r="I1827" s="4"/>
      <c r="J1827" s="4"/>
      <c r="K1827" s="4"/>
      <c r="L1827" s="4"/>
      <c r="M1827" s="4"/>
      <c r="N1827" s="4"/>
      <c r="O1827" s="6"/>
    </row>
    <row r="1828" spans="2:15" s="46" customFormat="1">
      <c r="B1828" s="3"/>
      <c r="C1828" s="3"/>
      <c r="G1828" s="4"/>
      <c r="H1828" s="4"/>
      <c r="I1828" s="4"/>
      <c r="J1828" s="4"/>
      <c r="K1828" s="4"/>
      <c r="L1828" s="4"/>
      <c r="M1828" s="4"/>
      <c r="N1828" s="4"/>
      <c r="O1828" s="6"/>
    </row>
    <row r="1829" spans="2:15" s="46" customFormat="1">
      <c r="B1829" s="3"/>
      <c r="C1829" s="3"/>
      <c r="G1829" s="4"/>
      <c r="H1829" s="4"/>
      <c r="I1829" s="4"/>
      <c r="J1829" s="4"/>
      <c r="K1829" s="4"/>
      <c r="L1829" s="4"/>
      <c r="M1829" s="4"/>
      <c r="N1829" s="4"/>
      <c r="O1829" s="6"/>
    </row>
    <row r="1830" spans="2:15" s="46" customFormat="1">
      <c r="B1830" s="3"/>
      <c r="C1830" s="3"/>
      <c r="G1830" s="4"/>
      <c r="H1830" s="4"/>
      <c r="I1830" s="4"/>
      <c r="J1830" s="4"/>
      <c r="K1830" s="4"/>
      <c r="L1830" s="4"/>
      <c r="M1830" s="4"/>
      <c r="N1830" s="4"/>
      <c r="O1830" s="6"/>
    </row>
    <row r="1831" spans="2:15" s="46" customFormat="1">
      <c r="B1831" s="3"/>
      <c r="C1831" s="3"/>
      <c r="G1831" s="4"/>
      <c r="H1831" s="4"/>
      <c r="I1831" s="4"/>
      <c r="J1831" s="4"/>
      <c r="K1831" s="4"/>
      <c r="L1831" s="4"/>
      <c r="M1831" s="4"/>
      <c r="N1831" s="4"/>
      <c r="O1831" s="6"/>
    </row>
    <row r="1832" spans="2:15" s="46" customFormat="1">
      <c r="B1832" s="3"/>
      <c r="C1832" s="3"/>
      <c r="G1832" s="4"/>
      <c r="H1832" s="4"/>
      <c r="I1832" s="4"/>
      <c r="J1832" s="4"/>
      <c r="K1832" s="4"/>
      <c r="L1832" s="4"/>
      <c r="M1832" s="4"/>
      <c r="N1832" s="4"/>
      <c r="O1832" s="6"/>
    </row>
    <row r="1833" spans="2:15" s="46" customFormat="1">
      <c r="B1833" s="3"/>
      <c r="C1833" s="3"/>
      <c r="G1833" s="4"/>
      <c r="H1833" s="4"/>
      <c r="I1833" s="4"/>
      <c r="J1833" s="4"/>
      <c r="K1833" s="4"/>
      <c r="L1833" s="4"/>
      <c r="M1833" s="4"/>
      <c r="N1833" s="4"/>
      <c r="O1833" s="6"/>
    </row>
    <row r="1834" spans="2:15" s="46" customFormat="1">
      <c r="B1834" s="3"/>
      <c r="C1834" s="3"/>
      <c r="G1834" s="4"/>
      <c r="H1834" s="4"/>
      <c r="I1834" s="4"/>
      <c r="J1834" s="4"/>
      <c r="K1834" s="4"/>
      <c r="L1834" s="4"/>
      <c r="M1834" s="4"/>
      <c r="N1834" s="4"/>
      <c r="O1834" s="6"/>
    </row>
    <row r="1835" spans="2:15" s="46" customFormat="1">
      <c r="B1835" s="3"/>
      <c r="C1835" s="3"/>
      <c r="G1835" s="4"/>
      <c r="H1835" s="4"/>
      <c r="I1835" s="4"/>
      <c r="J1835" s="4"/>
      <c r="K1835" s="4"/>
      <c r="L1835" s="4"/>
      <c r="M1835" s="4"/>
      <c r="N1835" s="4"/>
      <c r="O1835" s="6"/>
    </row>
    <row r="1836" spans="2:15" s="46" customFormat="1">
      <c r="B1836" s="3"/>
      <c r="C1836" s="3"/>
      <c r="G1836" s="4"/>
      <c r="H1836" s="4"/>
      <c r="I1836" s="4"/>
      <c r="J1836" s="4"/>
      <c r="K1836" s="4"/>
      <c r="L1836" s="4"/>
      <c r="M1836" s="4"/>
      <c r="N1836" s="4"/>
      <c r="O1836" s="6"/>
    </row>
    <row r="1837" spans="2:15" s="46" customFormat="1">
      <c r="B1837" s="3"/>
      <c r="C1837" s="3"/>
      <c r="G1837" s="4"/>
      <c r="H1837" s="4"/>
      <c r="I1837" s="4"/>
      <c r="J1837" s="4"/>
      <c r="K1837" s="4"/>
      <c r="L1837" s="4"/>
      <c r="M1837" s="4"/>
      <c r="N1837" s="4"/>
      <c r="O1837" s="6"/>
    </row>
    <row r="1838" spans="2:15" s="46" customFormat="1">
      <c r="B1838" s="3"/>
      <c r="C1838" s="3"/>
      <c r="G1838" s="4"/>
      <c r="H1838" s="4"/>
      <c r="I1838" s="4"/>
      <c r="J1838" s="4"/>
      <c r="K1838" s="4"/>
      <c r="L1838" s="4"/>
      <c r="M1838" s="4"/>
      <c r="N1838" s="4"/>
      <c r="O1838" s="6"/>
    </row>
    <row r="1839" spans="2:15" s="46" customFormat="1">
      <c r="B1839" s="3"/>
      <c r="C1839" s="3"/>
      <c r="G1839" s="4"/>
      <c r="H1839" s="4"/>
      <c r="I1839" s="4"/>
      <c r="J1839" s="4"/>
      <c r="K1839" s="4"/>
      <c r="L1839" s="4"/>
      <c r="M1839" s="4"/>
      <c r="N1839" s="4"/>
      <c r="O1839" s="6"/>
    </row>
    <row r="1840" spans="2:15" s="46" customFormat="1">
      <c r="B1840" s="3"/>
      <c r="C1840" s="3"/>
      <c r="G1840" s="4"/>
      <c r="H1840" s="4"/>
      <c r="I1840" s="4"/>
      <c r="J1840" s="4"/>
      <c r="K1840" s="4"/>
      <c r="L1840" s="4"/>
      <c r="M1840" s="4"/>
      <c r="N1840" s="4"/>
      <c r="O1840" s="6"/>
    </row>
    <row r="1841" spans="2:15" s="46" customFormat="1">
      <c r="B1841" s="3"/>
      <c r="C1841" s="3"/>
      <c r="G1841" s="4"/>
      <c r="H1841" s="4"/>
      <c r="I1841" s="4"/>
      <c r="J1841" s="4"/>
      <c r="K1841" s="4"/>
      <c r="L1841" s="4"/>
      <c r="M1841" s="4"/>
      <c r="N1841" s="4"/>
      <c r="O1841" s="6"/>
    </row>
    <row r="1842" spans="2:15" s="46" customFormat="1">
      <c r="B1842" s="3"/>
      <c r="C1842" s="3"/>
      <c r="G1842" s="4"/>
      <c r="H1842" s="4"/>
      <c r="I1842" s="4"/>
      <c r="J1842" s="4"/>
      <c r="K1842" s="4"/>
      <c r="L1842" s="4"/>
      <c r="M1842" s="4"/>
      <c r="N1842" s="4"/>
      <c r="O1842" s="6"/>
    </row>
    <row r="1843" spans="2:15" s="46" customFormat="1">
      <c r="B1843" s="3"/>
      <c r="C1843" s="3"/>
      <c r="G1843" s="4"/>
      <c r="H1843" s="4"/>
      <c r="I1843" s="4"/>
      <c r="J1843" s="4"/>
      <c r="K1843" s="4"/>
      <c r="L1843" s="4"/>
      <c r="M1843" s="4"/>
      <c r="N1843" s="4"/>
      <c r="O1843" s="6"/>
    </row>
    <row r="1844" spans="2:15" s="46" customFormat="1">
      <c r="B1844" s="3"/>
      <c r="C1844" s="3"/>
      <c r="G1844" s="4"/>
      <c r="H1844" s="4"/>
      <c r="I1844" s="4"/>
      <c r="J1844" s="4"/>
      <c r="K1844" s="4"/>
      <c r="L1844" s="4"/>
      <c r="M1844" s="4"/>
      <c r="N1844" s="4"/>
      <c r="O1844" s="6"/>
    </row>
    <row r="1845" spans="2:15" s="46" customFormat="1">
      <c r="B1845" s="3"/>
      <c r="C1845" s="3"/>
      <c r="G1845" s="4"/>
      <c r="H1845" s="4"/>
      <c r="I1845" s="4"/>
      <c r="J1845" s="4"/>
      <c r="K1845" s="4"/>
      <c r="L1845" s="4"/>
      <c r="M1845" s="4"/>
      <c r="N1845" s="4"/>
      <c r="O1845" s="6"/>
    </row>
    <row r="1846" spans="2:15" s="46" customFormat="1">
      <c r="B1846" s="3"/>
      <c r="C1846" s="3"/>
      <c r="G1846" s="4"/>
      <c r="H1846" s="4"/>
      <c r="I1846" s="4"/>
      <c r="J1846" s="4"/>
      <c r="K1846" s="4"/>
      <c r="L1846" s="4"/>
      <c r="M1846" s="4"/>
      <c r="N1846" s="4"/>
      <c r="O1846" s="6"/>
    </row>
    <row r="1847" spans="2:15" s="46" customFormat="1">
      <c r="B1847" s="3"/>
      <c r="C1847" s="3"/>
      <c r="G1847" s="4"/>
      <c r="H1847" s="4"/>
      <c r="I1847" s="4"/>
      <c r="J1847" s="4"/>
      <c r="K1847" s="4"/>
      <c r="L1847" s="4"/>
      <c r="M1847" s="4"/>
      <c r="N1847" s="4"/>
      <c r="O1847" s="6"/>
    </row>
    <row r="1848" spans="2:15" s="46" customFormat="1">
      <c r="B1848" s="3"/>
      <c r="C1848" s="3"/>
      <c r="G1848" s="4"/>
      <c r="H1848" s="4"/>
      <c r="I1848" s="4"/>
      <c r="J1848" s="4"/>
      <c r="K1848" s="4"/>
      <c r="L1848" s="4"/>
      <c r="M1848" s="4"/>
      <c r="N1848" s="4"/>
      <c r="O1848" s="6"/>
    </row>
    <row r="1849" spans="2:15" s="46" customFormat="1">
      <c r="B1849" s="3"/>
      <c r="C1849" s="3"/>
      <c r="G1849" s="4"/>
      <c r="H1849" s="4"/>
      <c r="I1849" s="4"/>
      <c r="J1849" s="4"/>
      <c r="K1849" s="4"/>
      <c r="L1849" s="4"/>
      <c r="M1849" s="4"/>
      <c r="N1849" s="4"/>
      <c r="O1849" s="6"/>
    </row>
    <row r="1850" spans="2:15" s="46" customFormat="1">
      <c r="B1850" s="3"/>
      <c r="C1850" s="3"/>
      <c r="G1850" s="4"/>
      <c r="H1850" s="4"/>
      <c r="I1850" s="4"/>
      <c r="J1850" s="4"/>
      <c r="K1850" s="4"/>
      <c r="L1850" s="4"/>
      <c r="M1850" s="4"/>
      <c r="N1850" s="4"/>
      <c r="O1850" s="6"/>
    </row>
    <row r="1851" spans="2:15" s="46" customFormat="1">
      <c r="B1851" s="3"/>
      <c r="C1851" s="3"/>
      <c r="G1851" s="4"/>
      <c r="H1851" s="4"/>
      <c r="I1851" s="4"/>
      <c r="J1851" s="4"/>
      <c r="K1851" s="4"/>
      <c r="L1851" s="4"/>
      <c r="M1851" s="4"/>
      <c r="N1851" s="4"/>
      <c r="O1851" s="6"/>
    </row>
    <row r="1852" spans="2:15" s="46" customFormat="1">
      <c r="B1852" s="3"/>
      <c r="C1852" s="3"/>
      <c r="G1852" s="4"/>
      <c r="H1852" s="4"/>
      <c r="I1852" s="4"/>
      <c r="J1852" s="4"/>
      <c r="K1852" s="4"/>
      <c r="L1852" s="4"/>
      <c r="M1852" s="4"/>
      <c r="N1852" s="4"/>
      <c r="O1852" s="6"/>
    </row>
    <row r="1853" spans="2:15" s="46" customFormat="1">
      <c r="B1853" s="3"/>
      <c r="C1853" s="3"/>
      <c r="G1853" s="4"/>
      <c r="H1853" s="4"/>
      <c r="I1853" s="4"/>
      <c r="J1853" s="4"/>
      <c r="K1853" s="4"/>
      <c r="L1853" s="4"/>
      <c r="M1853" s="4"/>
      <c r="N1853" s="4"/>
      <c r="O1853" s="6"/>
    </row>
    <row r="1854" spans="2:15" s="46" customFormat="1">
      <c r="B1854" s="3"/>
      <c r="C1854" s="3"/>
      <c r="G1854" s="4"/>
      <c r="H1854" s="4"/>
      <c r="I1854" s="4"/>
      <c r="J1854" s="4"/>
      <c r="K1854" s="4"/>
      <c r="L1854" s="4"/>
      <c r="M1854" s="4"/>
      <c r="N1854" s="4"/>
      <c r="O1854" s="6"/>
    </row>
    <row r="1855" spans="2:15" s="46" customFormat="1">
      <c r="B1855" s="3"/>
      <c r="C1855" s="3"/>
      <c r="G1855" s="4"/>
      <c r="H1855" s="4"/>
      <c r="I1855" s="4"/>
      <c r="J1855" s="4"/>
      <c r="K1855" s="4"/>
      <c r="L1855" s="4"/>
      <c r="M1855" s="4"/>
      <c r="N1855" s="4"/>
      <c r="O1855" s="6"/>
    </row>
    <row r="1856" spans="2:15" s="46" customFormat="1">
      <c r="B1856" s="3"/>
      <c r="C1856" s="3"/>
      <c r="G1856" s="4"/>
      <c r="H1856" s="4"/>
      <c r="I1856" s="4"/>
      <c r="J1856" s="4"/>
      <c r="K1856" s="4"/>
      <c r="L1856" s="4"/>
      <c r="M1856" s="4"/>
      <c r="N1856" s="4"/>
      <c r="O1856" s="6"/>
    </row>
    <row r="1857" spans="2:15" s="46" customFormat="1">
      <c r="B1857" s="3"/>
      <c r="C1857" s="3"/>
      <c r="G1857" s="4"/>
      <c r="H1857" s="4"/>
      <c r="I1857" s="4"/>
      <c r="J1857" s="4"/>
      <c r="K1857" s="4"/>
      <c r="L1857" s="4"/>
      <c r="M1857" s="4"/>
      <c r="N1857" s="4"/>
      <c r="O1857" s="6"/>
    </row>
    <row r="1858" spans="2:15" s="46" customFormat="1">
      <c r="B1858" s="3"/>
      <c r="C1858" s="3"/>
      <c r="G1858" s="4"/>
      <c r="H1858" s="4"/>
      <c r="I1858" s="4"/>
      <c r="J1858" s="4"/>
      <c r="K1858" s="4"/>
      <c r="L1858" s="4"/>
      <c r="M1858" s="4"/>
      <c r="N1858" s="4"/>
      <c r="O1858" s="6"/>
    </row>
    <row r="1859" spans="2:15" s="46" customFormat="1">
      <c r="B1859" s="3"/>
      <c r="C1859" s="3"/>
      <c r="G1859" s="4"/>
      <c r="H1859" s="4"/>
      <c r="I1859" s="4"/>
      <c r="J1859" s="4"/>
      <c r="K1859" s="4"/>
      <c r="L1859" s="4"/>
      <c r="M1859" s="4"/>
      <c r="N1859" s="4"/>
      <c r="O1859" s="6"/>
    </row>
    <row r="1860" spans="2:15" s="46" customFormat="1">
      <c r="B1860" s="3"/>
      <c r="C1860" s="3"/>
      <c r="G1860" s="4"/>
      <c r="H1860" s="4"/>
      <c r="I1860" s="4"/>
      <c r="J1860" s="4"/>
      <c r="K1860" s="4"/>
      <c r="L1860" s="4"/>
      <c r="M1860" s="4"/>
      <c r="N1860" s="4"/>
      <c r="O1860" s="6"/>
    </row>
    <row r="1861" spans="2:15" s="46" customFormat="1">
      <c r="B1861" s="3"/>
      <c r="C1861" s="3"/>
      <c r="G1861" s="4"/>
      <c r="H1861" s="4"/>
      <c r="I1861" s="4"/>
      <c r="J1861" s="4"/>
      <c r="K1861" s="4"/>
      <c r="L1861" s="4"/>
      <c r="M1861" s="4"/>
      <c r="N1861" s="4"/>
      <c r="O1861" s="6"/>
    </row>
    <row r="1862" spans="2:15" s="46" customFormat="1">
      <c r="B1862" s="3"/>
      <c r="C1862" s="3"/>
      <c r="G1862" s="4"/>
      <c r="H1862" s="4"/>
      <c r="I1862" s="4"/>
      <c r="J1862" s="4"/>
      <c r="K1862" s="4"/>
      <c r="L1862" s="4"/>
      <c r="M1862" s="4"/>
      <c r="N1862" s="4"/>
      <c r="O1862" s="6"/>
    </row>
    <row r="1863" spans="2:15" s="46" customFormat="1">
      <c r="B1863" s="3"/>
      <c r="C1863" s="3"/>
      <c r="G1863" s="4"/>
      <c r="H1863" s="4"/>
      <c r="I1863" s="4"/>
      <c r="J1863" s="4"/>
      <c r="K1863" s="4"/>
      <c r="L1863" s="4"/>
      <c r="M1863" s="4"/>
      <c r="N1863" s="4"/>
      <c r="O1863" s="6"/>
    </row>
    <row r="1864" spans="2:15" s="46" customFormat="1">
      <c r="B1864" s="3"/>
      <c r="C1864" s="3"/>
      <c r="G1864" s="4"/>
      <c r="H1864" s="4"/>
      <c r="I1864" s="4"/>
      <c r="J1864" s="4"/>
      <c r="K1864" s="4"/>
      <c r="L1864" s="4"/>
      <c r="M1864" s="4"/>
      <c r="N1864" s="4"/>
      <c r="O1864" s="6"/>
    </row>
    <row r="1865" spans="2:15" s="46" customFormat="1">
      <c r="B1865" s="3"/>
      <c r="C1865" s="3"/>
      <c r="G1865" s="4"/>
      <c r="H1865" s="4"/>
      <c r="I1865" s="4"/>
      <c r="J1865" s="4"/>
      <c r="K1865" s="4"/>
      <c r="L1865" s="4"/>
      <c r="M1865" s="4"/>
      <c r="N1865" s="4"/>
      <c r="O1865" s="6"/>
    </row>
    <row r="1866" spans="2:15" s="46" customFormat="1">
      <c r="B1866" s="3"/>
      <c r="C1866" s="3"/>
      <c r="G1866" s="4"/>
      <c r="H1866" s="4"/>
      <c r="I1866" s="4"/>
      <c r="J1866" s="4"/>
      <c r="K1866" s="4"/>
      <c r="L1866" s="4"/>
      <c r="M1866" s="4"/>
      <c r="N1866" s="4"/>
      <c r="O1866" s="6"/>
    </row>
    <row r="1867" spans="2:15" s="46" customFormat="1">
      <c r="B1867" s="3"/>
      <c r="C1867" s="3"/>
      <c r="G1867" s="4"/>
      <c r="H1867" s="4"/>
      <c r="I1867" s="4"/>
      <c r="J1867" s="4"/>
      <c r="K1867" s="4"/>
      <c r="L1867" s="4"/>
      <c r="M1867" s="4"/>
      <c r="N1867" s="4"/>
      <c r="O1867" s="6"/>
    </row>
    <row r="1868" spans="2:15" s="46" customFormat="1">
      <c r="B1868" s="3"/>
      <c r="C1868" s="3"/>
      <c r="G1868" s="4"/>
      <c r="H1868" s="4"/>
      <c r="I1868" s="4"/>
      <c r="J1868" s="4"/>
      <c r="K1868" s="4"/>
      <c r="L1868" s="4"/>
      <c r="M1868" s="4"/>
      <c r="N1868" s="4"/>
      <c r="O1868" s="6"/>
    </row>
    <row r="1869" spans="2:15" s="46" customFormat="1">
      <c r="B1869" s="3"/>
      <c r="C1869" s="3"/>
      <c r="G1869" s="4"/>
      <c r="H1869" s="4"/>
      <c r="I1869" s="4"/>
      <c r="J1869" s="4"/>
      <c r="K1869" s="4"/>
      <c r="L1869" s="4"/>
      <c r="M1869" s="4"/>
      <c r="N1869" s="4"/>
      <c r="O1869" s="6"/>
    </row>
    <row r="1870" spans="2:15" s="46" customFormat="1">
      <c r="B1870" s="3"/>
      <c r="C1870" s="3"/>
      <c r="G1870" s="4"/>
      <c r="H1870" s="4"/>
      <c r="I1870" s="4"/>
      <c r="J1870" s="4"/>
      <c r="K1870" s="4"/>
      <c r="L1870" s="4"/>
      <c r="M1870" s="4"/>
      <c r="N1870" s="4"/>
      <c r="O1870" s="6"/>
    </row>
    <row r="1871" spans="2:15" s="46" customFormat="1">
      <c r="B1871" s="3"/>
      <c r="C1871" s="3"/>
      <c r="G1871" s="4"/>
      <c r="H1871" s="4"/>
      <c r="I1871" s="4"/>
      <c r="J1871" s="4"/>
      <c r="K1871" s="4"/>
      <c r="L1871" s="4"/>
      <c r="M1871" s="4"/>
      <c r="N1871" s="4"/>
      <c r="O1871" s="6"/>
    </row>
    <row r="1872" spans="2:15" s="46" customFormat="1">
      <c r="B1872" s="3"/>
      <c r="C1872" s="3"/>
      <c r="G1872" s="4"/>
      <c r="H1872" s="4"/>
      <c r="I1872" s="4"/>
      <c r="J1872" s="4"/>
      <c r="K1872" s="4"/>
      <c r="L1872" s="4"/>
      <c r="M1872" s="4"/>
      <c r="N1872" s="4"/>
      <c r="O1872" s="6"/>
    </row>
    <row r="1873" spans="2:15" s="46" customFormat="1">
      <c r="B1873" s="3"/>
      <c r="C1873" s="3"/>
      <c r="G1873" s="4"/>
      <c r="H1873" s="4"/>
      <c r="I1873" s="4"/>
      <c r="J1873" s="4"/>
      <c r="K1873" s="4"/>
      <c r="L1873" s="4"/>
      <c r="M1873" s="4"/>
      <c r="N1873" s="4"/>
      <c r="O1873" s="6"/>
    </row>
    <row r="1874" spans="2:15" s="46" customFormat="1">
      <c r="B1874" s="3"/>
      <c r="C1874" s="3"/>
      <c r="G1874" s="4"/>
      <c r="H1874" s="4"/>
      <c r="I1874" s="4"/>
      <c r="J1874" s="4"/>
      <c r="K1874" s="4"/>
      <c r="L1874" s="4"/>
      <c r="M1874" s="4"/>
      <c r="N1874" s="4"/>
      <c r="O1874" s="6"/>
    </row>
    <row r="1875" spans="2:15" s="46" customFormat="1">
      <c r="B1875" s="3"/>
      <c r="C1875" s="3"/>
      <c r="G1875" s="4"/>
      <c r="H1875" s="4"/>
      <c r="I1875" s="4"/>
      <c r="J1875" s="4"/>
      <c r="K1875" s="4"/>
      <c r="L1875" s="4"/>
      <c r="M1875" s="4"/>
      <c r="N1875" s="4"/>
      <c r="O1875" s="6"/>
    </row>
    <row r="1876" spans="2:15" s="46" customFormat="1">
      <c r="B1876" s="3"/>
      <c r="C1876" s="3"/>
      <c r="G1876" s="4"/>
      <c r="H1876" s="4"/>
      <c r="I1876" s="4"/>
      <c r="J1876" s="4"/>
      <c r="K1876" s="4"/>
      <c r="L1876" s="4"/>
      <c r="M1876" s="4"/>
      <c r="N1876" s="4"/>
      <c r="O1876" s="6"/>
    </row>
    <row r="1877" spans="2:15" s="46" customFormat="1">
      <c r="B1877" s="3"/>
      <c r="C1877" s="3"/>
      <c r="G1877" s="4"/>
      <c r="H1877" s="4"/>
      <c r="I1877" s="4"/>
      <c r="J1877" s="4"/>
      <c r="K1877" s="4"/>
      <c r="L1877" s="4"/>
      <c r="M1877" s="4"/>
      <c r="N1877" s="4"/>
      <c r="O1877" s="6"/>
    </row>
    <row r="1878" spans="2:15" s="46" customFormat="1">
      <c r="B1878" s="3"/>
      <c r="C1878" s="3"/>
      <c r="G1878" s="4"/>
      <c r="H1878" s="4"/>
      <c r="I1878" s="4"/>
      <c r="J1878" s="4"/>
      <c r="K1878" s="4"/>
      <c r="L1878" s="4"/>
      <c r="M1878" s="4"/>
      <c r="N1878" s="4"/>
      <c r="O1878" s="6"/>
    </row>
    <row r="1879" spans="2:15" s="46" customFormat="1">
      <c r="B1879" s="3"/>
      <c r="C1879" s="3"/>
      <c r="G1879" s="4"/>
      <c r="H1879" s="4"/>
      <c r="I1879" s="4"/>
      <c r="J1879" s="4"/>
      <c r="K1879" s="4"/>
      <c r="L1879" s="4"/>
      <c r="M1879" s="4"/>
      <c r="N1879" s="4"/>
      <c r="O1879" s="6"/>
    </row>
    <row r="1880" spans="2:15" s="46" customFormat="1">
      <c r="B1880" s="3"/>
      <c r="C1880" s="3"/>
      <c r="G1880" s="4"/>
      <c r="H1880" s="4"/>
      <c r="I1880" s="4"/>
      <c r="J1880" s="4"/>
      <c r="K1880" s="4"/>
      <c r="L1880" s="4"/>
      <c r="M1880" s="4"/>
      <c r="N1880" s="4"/>
      <c r="O1880" s="6"/>
    </row>
    <row r="1881" spans="2:15" s="46" customFormat="1">
      <c r="B1881" s="3"/>
      <c r="C1881" s="3"/>
      <c r="G1881" s="4"/>
      <c r="H1881" s="4"/>
      <c r="I1881" s="4"/>
      <c r="J1881" s="4"/>
      <c r="K1881" s="4"/>
      <c r="L1881" s="4"/>
      <c r="M1881" s="4"/>
      <c r="N1881" s="4"/>
      <c r="O1881" s="6"/>
    </row>
    <row r="1882" spans="2:15" s="46" customFormat="1">
      <c r="B1882" s="3"/>
      <c r="C1882" s="3"/>
      <c r="G1882" s="4"/>
      <c r="H1882" s="4"/>
      <c r="I1882" s="4"/>
      <c r="J1882" s="4"/>
      <c r="K1882" s="4"/>
      <c r="L1882" s="4"/>
      <c r="M1882" s="4"/>
      <c r="N1882" s="4"/>
      <c r="O1882" s="6"/>
    </row>
    <row r="1883" spans="2:15" s="46" customFormat="1">
      <c r="B1883" s="3"/>
      <c r="C1883" s="3"/>
      <c r="G1883" s="4"/>
      <c r="H1883" s="4"/>
      <c r="I1883" s="4"/>
      <c r="J1883" s="4"/>
      <c r="K1883" s="4"/>
      <c r="L1883" s="4"/>
      <c r="M1883" s="4"/>
      <c r="N1883" s="4"/>
      <c r="O1883" s="6"/>
    </row>
    <row r="1884" spans="2:15" s="46" customFormat="1">
      <c r="B1884" s="3"/>
      <c r="C1884" s="3"/>
      <c r="G1884" s="4"/>
      <c r="H1884" s="4"/>
      <c r="I1884" s="4"/>
      <c r="J1884" s="4"/>
      <c r="K1884" s="4"/>
      <c r="L1884" s="4"/>
      <c r="M1884" s="4"/>
      <c r="N1884" s="4"/>
      <c r="O1884" s="6"/>
    </row>
    <row r="1885" spans="2:15" s="46" customFormat="1">
      <c r="B1885" s="3"/>
      <c r="C1885" s="3"/>
      <c r="G1885" s="4"/>
      <c r="H1885" s="4"/>
      <c r="I1885" s="4"/>
      <c r="J1885" s="4"/>
      <c r="K1885" s="4"/>
      <c r="L1885" s="4"/>
      <c r="M1885" s="4"/>
      <c r="N1885" s="4"/>
      <c r="O1885" s="6"/>
    </row>
    <row r="1886" spans="2:15" s="46" customFormat="1">
      <c r="B1886" s="3"/>
      <c r="C1886" s="3"/>
      <c r="G1886" s="4"/>
      <c r="H1886" s="4"/>
      <c r="I1886" s="4"/>
      <c r="J1886" s="4"/>
      <c r="K1886" s="4"/>
      <c r="L1886" s="4"/>
      <c r="M1886" s="4"/>
      <c r="N1886" s="4"/>
      <c r="O1886" s="6"/>
    </row>
    <row r="1887" spans="2:15" s="46" customFormat="1">
      <c r="B1887" s="3"/>
      <c r="C1887" s="3"/>
      <c r="G1887" s="4"/>
      <c r="H1887" s="4"/>
      <c r="I1887" s="4"/>
      <c r="J1887" s="4"/>
      <c r="K1887" s="4"/>
      <c r="L1887" s="4"/>
      <c r="M1887" s="4"/>
      <c r="N1887" s="4"/>
      <c r="O1887" s="6"/>
    </row>
    <row r="1888" spans="2:15" s="46" customFormat="1">
      <c r="B1888" s="3"/>
      <c r="C1888" s="3"/>
      <c r="G1888" s="4"/>
      <c r="H1888" s="4"/>
      <c r="I1888" s="4"/>
      <c r="J1888" s="4"/>
      <c r="K1888" s="4"/>
      <c r="L1888" s="4"/>
      <c r="M1888" s="4"/>
      <c r="N1888" s="4"/>
      <c r="O1888" s="6"/>
    </row>
    <row r="1889" spans="2:15" s="46" customFormat="1">
      <c r="B1889" s="3"/>
      <c r="C1889" s="3"/>
      <c r="G1889" s="4"/>
      <c r="H1889" s="4"/>
      <c r="I1889" s="4"/>
      <c r="J1889" s="4"/>
      <c r="K1889" s="4"/>
      <c r="L1889" s="4"/>
      <c r="M1889" s="4"/>
      <c r="N1889" s="4"/>
      <c r="O1889" s="6"/>
    </row>
    <row r="1890" spans="2:15" s="46" customFormat="1">
      <c r="B1890" s="3"/>
      <c r="C1890" s="3"/>
      <c r="G1890" s="4"/>
      <c r="H1890" s="4"/>
      <c r="I1890" s="4"/>
      <c r="J1890" s="4"/>
      <c r="K1890" s="4"/>
      <c r="L1890" s="4"/>
      <c r="M1890" s="4"/>
      <c r="N1890" s="4"/>
      <c r="O1890" s="6"/>
    </row>
    <row r="1891" spans="2:15" s="46" customFormat="1">
      <c r="B1891" s="3"/>
      <c r="C1891" s="3"/>
      <c r="G1891" s="4"/>
      <c r="H1891" s="4"/>
      <c r="I1891" s="4"/>
      <c r="J1891" s="4"/>
      <c r="K1891" s="4"/>
      <c r="L1891" s="4"/>
      <c r="M1891" s="4"/>
      <c r="N1891" s="4"/>
      <c r="O1891" s="6"/>
    </row>
    <row r="1892" spans="2:15" s="46" customFormat="1">
      <c r="B1892" s="3"/>
      <c r="C1892" s="3"/>
      <c r="G1892" s="4"/>
      <c r="H1892" s="4"/>
      <c r="I1892" s="4"/>
      <c r="J1892" s="4"/>
      <c r="K1892" s="4"/>
      <c r="L1892" s="4"/>
      <c r="M1892" s="4"/>
      <c r="N1892" s="4"/>
      <c r="O1892" s="6"/>
    </row>
    <row r="1893" spans="2:15" s="46" customFormat="1">
      <c r="B1893" s="3"/>
      <c r="C1893" s="3"/>
      <c r="G1893" s="4"/>
      <c r="H1893" s="4"/>
      <c r="I1893" s="4"/>
      <c r="J1893" s="4"/>
      <c r="K1893" s="4"/>
      <c r="L1893" s="4"/>
      <c r="M1893" s="4"/>
      <c r="N1893" s="4"/>
      <c r="O1893" s="6"/>
    </row>
    <row r="1894" spans="2:15" s="46" customFormat="1">
      <c r="B1894" s="3"/>
      <c r="C1894" s="3"/>
      <c r="G1894" s="4"/>
      <c r="H1894" s="4"/>
      <c r="I1894" s="4"/>
      <c r="J1894" s="4"/>
      <c r="K1894" s="4"/>
      <c r="L1894" s="4"/>
      <c r="M1894" s="4"/>
      <c r="N1894" s="4"/>
      <c r="O1894" s="6"/>
    </row>
    <row r="1895" spans="2:15" s="46" customFormat="1">
      <c r="B1895" s="3"/>
      <c r="C1895" s="3"/>
      <c r="G1895" s="4"/>
      <c r="H1895" s="4"/>
      <c r="I1895" s="4"/>
      <c r="J1895" s="4"/>
      <c r="K1895" s="4"/>
      <c r="L1895" s="4"/>
      <c r="M1895" s="4"/>
      <c r="N1895" s="4"/>
      <c r="O1895" s="6"/>
    </row>
    <row r="1896" spans="2:15" s="46" customFormat="1">
      <c r="B1896" s="3"/>
      <c r="C1896" s="3"/>
      <c r="G1896" s="4"/>
      <c r="H1896" s="4"/>
      <c r="I1896" s="4"/>
      <c r="J1896" s="4"/>
      <c r="K1896" s="4"/>
      <c r="L1896" s="4"/>
      <c r="M1896" s="4"/>
      <c r="N1896" s="4"/>
      <c r="O1896" s="6"/>
    </row>
    <row r="1897" spans="2:15" s="46" customFormat="1">
      <c r="B1897" s="3"/>
      <c r="C1897" s="3"/>
      <c r="G1897" s="4"/>
      <c r="H1897" s="4"/>
      <c r="I1897" s="4"/>
      <c r="J1897" s="4"/>
      <c r="K1897" s="4"/>
      <c r="L1897" s="4"/>
      <c r="M1897" s="4"/>
      <c r="N1897" s="4"/>
      <c r="O1897" s="6"/>
    </row>
    <row r="1898" spans="2:15" s="46" customFormat="1">
      <c r="B1898" s="3"/>
      <c r="C1898" s="3"/>
      <c r="G1898" s="4"/>
      <c r="H1898" s="4"/>
      <c r="I1898" s="4"/>
      <c r="J1898" s="4"/>
      <c r="K1898" s="4"/>
      <c r="L1898" s="4"/>
      <c r="M1898" s="4"/>
      <c r="N1898" s="4"/>
      <c r="O1898" s="6"/>
    </row>
    <row r="1899" spans="2:15" s="46" customFormat="1">
      <c r="B1899" s="3"/>
      <c r="C1899" s="3"/>
      <c r="G1899" s="4"/>
      <c r="H1899" s="4"/>
      <c r="I1899" s="4"/>
      <c r="J1899" s="4"/>
      <c r="K1899" s="4"/>
      <c r="L1899" s="4"/>
      <c r="M1899" s="4"/>
      <c r="N1899" s="4"/>
      <c r="O1899" s="6"/>
    </row>
    <row r="1900" spans="2:15" s="46" customFormat="1">
      <c r="B1900" s="3"/>
      <c r="C1900" s="3"/>
      <c r="G1900" s="4"/>
      <c r="H1900" s="4"/>
      <c r="I1900" s="4"/>
      <c r="J1900" s="4"/>
      <c r="K1900" s="4"/>
      <c r="L1900" s="4"/>
      <c r="M1900" s="4"/>
      <c r="N1900" s="4"/>
      <c r="O1900" s="6"/>
    </row>
    <row r="1901" spans="2:15" s="46" customFormat="1">
      <c r="B1901" s="3"/>
      <c r="C1901" s="3"/>
      <c r="G1901" s="4"/>
      <c r="H1901" s="4"/>
      <c r="I1901" s="4"/>
      <c r="J1901" s="4"/>
      <c r="K1901" s="4"/>
      <c r="L1901" s="4"/>
      <c r="M1901" s="4"/>
      <c r="N1901" s="4"/>
      <c r="O1901" s="6"/>
    </row>
    <row r="1902" spans="2:15" s="46" customFormat="1">
      <c r="B1902" s="3"/>
      <c r="C1902" s="3"/>
      <c r="G1902" s="4"/>
      <c r="H1902" s="4"/>
      <c r="I1902" s="4"/>
      <c r="J1902" s="4"/>
      <c r="K1902" s="4"/>
      <c r="L1902" s="4"/>
      <c r="M1902" s="4"/>
      <c r="N1902" s="4"/>
      <c r="O1902" s="6"/>
    </row>
    <row r="1903" spans="2:15" s="46" customFormat="1">
      <c r="B1903" s="3"/>
      <c r="C1903" s="3"/>
      <c r="G1903" s="4"/>
      <c r="H1903" s="4"/>
      <c r="I1903" s="4"/>
      <c r="J1903" s="4"/>
      <c r="K1903" s="4"/>
      <c r="L1903" s="4"/>
      <c r="M1903" s="4"/>
      <c r="N1903" s="4"/>
      <c r="O1903" s="6"/>
    </row>
    <row r="1904" spans="2:15" s="46" customFormat="1">
      <c r="B1904" s="3"/>
      <c r="C1904" s="3"/>
      <c r="G1904" s="4"/>
      <c r="H1904" s="4"/>
      <c r="I1904" s="4"/>
      <c r="J1904" s="4"/>
      <c r="K1904" s="4"/>
      <c r="L1904" s="4"/>
      <c r="M1904" s="4"/>
      <c r="N1904" s="4"/>
      <c r="O1904" s="6"/>
    </row>
    <row r="1905" spans="2:15" s="46" customFormat="1">
      <c r="B1905" s="3"/>
      <c r="C1905" s="3"/>
      <c r="G1905" s="4"/>
      <c r="H1905" s="4"/>
      <c r="I1905" s="4"/>
      <c r="J1905" s="4"/>
      <c r="K1905" s="4"/>
      <c r="L1905" s="4"/>
      <c r="M1905" s="4"/>
      <c r="N1905" s="4"/>
      <c r="O1905" s="6"/>
    </row>
    <row r="1906" spans="2:15" s="46" customFormat="1">
      <c r="B1906" s="3"/>
      <c r="C1906" s="3"/>
      <c r="G1906" s="4"/>
      <c r="H1906" s="4"/>
      <c r="I1906" s="4"/>
      <c r="J1906" s="4"/>
      <c r="K1906" s="4"/>
      <c r="L1906" s="4"/>
      <c r="M1906" s="4"/>
      <c r="N1906" s="4"/>
      <c r="O1906" s="6"/>
    </row>
    <row r="1907" spans="2:15" s="46" customFormat="1">
      <c r="B1907" s="3"/>
      <c r="C1907" s="3"/>
      <c r="G1907" s="4"/>
      <c r="H1907" s="4"/>
      <c r="I1907" s="4"/>
      <c r="J1907" s="4"/>
      <c r="K1907" s="4"/>
      <c r="L1907" s="4"/>
      <c r="M1907" s="4"/>
      <c r="N1907" s="4"/>
      <c r="O1907" s="6"/>
    </row>
    <row r="1908" spans="2:15" s="46" customFormat="1">
      <c r="B1908" s="3"/>
      <c r="C1908" s="3"/>
      <c r="G1908" s="4"/>
      <c r="H1908" s="4"/>
      <c r="I1908" s="4"/>
      <c r="J1908" s="4"/>
      <c r="K1908" s="4"/>
      <c r="L1908" s="4"/>
      <c r="M1908" s="4"/>
      <c r="N1908" s="4"/>
      <c r="O1908" s="6"/>
    </row>
    <row r="1909" spans="2:15" s="46" customFormat="1">
      <c r="B1909" s="3"/>
      <c r="C1909" s="3"/>
      <c r="G1909" s="4"/>
      <c r="H1909" s="4"/>
      <c r="I1909" s="4"/>
      <c r="J1909" s="4"/>
      <c r="K1909" s="4"/>
      <c r="L1909" s="4"/>
      <c r="M1909" s="4"/>
      <c r="N1909" s="4"/>
      <c r="O1909" s="6"/>
    </row>
    <row r="1910" spans="2:15" s="46" customFormat="1">
      <c r="B1910" s="3"/>
      <c r="C1910" s="3"/>
      <c r="G1910" s="4"/>
      <c r="H1910" s="4"/>
      <c r="I1910" s="4"/>
      <c r="J1910" s="4"/>
      <c r="K1910" s="4"/>
      <c r="L1910" s="4"/>
      <c r="M1910" s="4"/>
      <c r="N1910" s="4"/>
      <c r="O1910" s="6"/>
    </row>
    <row r="1911" spans="2:15" s="46" customFormat="1">
      <c r="B1911" s="3"/>
      <c r="C1911" s="3"/>
      <c r="G1911" s="4"/>
      <c r="H1911" s="4"/>
      <c r="I1911" s="4"/>
      <c r="J1911" s="4"/>
      <c r="K1911" s="4"/>
      <c r="L1911" s="4"/>
      <c r="M1911" s="4"/>
      <c r="N1911" s="4"/>
      <c r="O1911" s="6"/>
    </row>
    <row r="1912" spans="2:15" s="46" customFormat="1">
      <c r="B1912" s="3"/>
      <c r="C1912" s="3"/>
      <c r="G1912" s="4"/>
      <c r="H1912" s="4"/>
      <c r="I1912" s="4"/>
      <c r="J1912" s="4"/>
      <c r="K1912" s="4"/>
      <c r="L1912" s="4"/>
      <c r="M1912" s="4"/>
      <c r="N1912" s="4"/>
      <c r="O1912" s="6"/>
    </row>
    <row r="1913" spans="2:15" s="46" customFormat="1">
      <c r="B1913" s="3"/>
      <c r="C1913" s="3"/>
      <c r="G1913" s="4"/>
      <c r="H1913" s="4"/>
      <c r="I1913" s="4"/>
      <c r="J1913" s="4"/>
      <c r="K1913" s="4"/>
      <c r="L1913" s="4"/>
      <c r="M1913" s="4"/>
      <c r="N1913" s="4"/>
      <c r="O1913" s="6"/>
    </row>
    <row r="1914" spans="2:15" s="46" customFormat="1">
      <c r="B1914" s="3"/>
      <c r="C1914" s="3"/>
      <c r="G1914" s="4"/>
      <c r="H1914" s="4"/>
      <c r="I1914" s="4"/>
      <c r="J1914" s="4"/>
      <c r="K1914" s="4"/>
      <c r="L1914" s="4"/>
      <c r="M1914" s="4"/>
      <c r="N1914" s="4"/>
      <c r="O1914" s="6"/>
    </row>
    <row r="1915" spans="2:15" s="46" customFormat="1">
      <c r="B1915" s="3"/>
      <c r="C1915" s="3"/>
      <c r="G1915" s="4"/>
      <c r="H1915" s="4"/>
      <c r="I1915" s="4"/>
      <c r="J1915" s="4"/>
      <c r="K1915" s="4"/>
      <c r="L1915" s="4"/>
      <c r="M1915" s="4"/>
      <c r="N1915" s="4"/>
      <c r="O1915" s="6"/>
    </row>
    <row r="1916" spans="2:15" s="46" customFormat="1">
      <c r="B1916" s="3"/>
      <c r="C1916" s="3"/>
      <c r="G1916" s="4"/>
      <c r="H1916" s="4"/>
      <c r="I1916" s="4"/>
      <c r="J1916" s="4"/>
      <c r="K1916" s="4"/>
      <c r="L1916" s="4"/>
      <c r="M1916" s="4"/>
      <c r="N1916" s="4"/>
      <c r="O1916" s="6"/>
    </row>
    <row r="1917" spans="2:15" s="46" customFormat="1">
      <c r="B1917" s="3"/>
      <c r="C1917" s="3"/>
      <c r="G1917" s="4"/>
      <c r="H1917" s="4"/>
      <c r="I1917" s="4"/>
      <c r="J1917" s="4"/>
      <c r="K1917" s="4"/>
      <c r="L1917" s="4"/>
      <c r="M1917" s="4"/>
      <c r="N1917" s="4"/>
      <c r="O1917" s="6"/>
    </row>
    <row r="1918" spans="2:15" s="46" customFormat="1">
      <c r="B1918" s="3"/>
      <c r="C1918" s="3"/>
      <c r="G1918" s="4"/>
      <c r="H1918" s="4"/>
      <c r="I1918" s="4"/>
      <c r="J1918" s="4"/>
      <c r="K1918" s="4"/>
      <c r="L1918" s="4"/>
      <c r="M1918" s="4"/>
      <c r="N1918" s="4"/>
      <c r="O1918" s="6"/>
    </row>
    <row r="1919" spans="2:15" s="46" customFormat="1">
      <c r="B1919" s="3"/>
      <c r="C1919" s="3"/>
      <c r="G1919" s="4"/>
      <c r="H1919" s="4"/>
      <c r="I1919" s="4"/>
      <c r="J1919" s="4"/>
      <c r="K1919" s="4"/>
      <c r="L1919" s="4"/>
      <c r="M1919" s="4"/>
      <c r="N1919" s="4"/>
      <c r="O1919" s="6"/>
    </row>
    <row r="1920" spans="2:15" s="46" customFormat="1">
      <c r="B1920" s="3"/>
      <c r="C1920" s="3"/>
      <c r="G1920" s="4"/>
      <c r="H1920" s="4"/>
      <c r="I1920" s="4"/>
      <c r="J1920" s="4"/>
      <c r="K1920" s="4"/>
      <c r="L1920" s="4"/>
      <c r="M1920" s="4"/>
      <c r="N1920" s="4"/>
      <c r="O1920" s="6"/>
    </row>
    <row r="1921" spans="2:15" s="46" customFormat="1">
      <c r="B1921" s="3"/>
      <c r="C1921" s="3"/>
      <c r="G1921" s="4"/>
      <c r="H1921" s="4"/>
      <c r="I1921" s="4"/>
      <c r="J1921" s="4"/>
      <c r="K1921" s="4"/>
      <c r="L1921" s="4"/>
      <c r="M1921" s="4"/>
      <c r="N1921" s="4"/>
      <c r="O1921" s="6"/>
    </row>
    <row r="1922" spans="2:15" s="46" customFormat="1">
      <c r="B1922" s="3"/>
      <c r="C1922" s="3"/>
      <c r="G1922" s="4"/>
      <c r="H1922" s="4"/>
      <c r="I1922" s="4"/>
      <c r="J1922" s="4"/>
      <c r="K1922" s="4"/>
      <c r="L1922" s="4"/>
      <c r="M1922" s="4"/>
      <c r="N1922" s="4"/>
      <c r="O1922" s="6"/>
    </row>
    <row r="1923" spans="2:15" s="46" customFormat="1">
      <c r="B1923" s="3"/>
      <c r="C1923" s="3"/>
      <c r="G1923" s="4"/>
      <c r="H1923" s="4"/>
      <c r="I1923" s="4"/>
      <c r="J1923" s="4"/>
      <c r="K1923" s="4"/>
      <c r="L1923" s="4"/>
      <c r="M1923" s="4"/>
      <c r="N1923" s="4"/>
      <c r="O1923" s="6"/>
    </row>
    <row r="1924" spans="2:15" s="46" customFormat="1">
      <c r="B1924" s="3"/>
      <c r="C1924" s="3"/>
      <c r="G1924" s="4"/>
      <c r="H1924" s="4"/>
      <c r="I1924" s="4"/>
      <c r="J1924" s="4"/>
      <c r="K1924" s="4"/>
      <c r="L1924" s="4"/>
      <c r="M1924" s="4"/>
      <c r="N1924" s="4"/>
      <c r="O1924" s="6"/>
    </row>
    <row r="1925" spans="2:15" s="46" customFormat="1">
      <c r="B1925" s="3"/>
      <c r="C1925" s="3"/>
      <c r="G1925" s="4"/>
      <c r="H1925" s="4"/>
      <c r="I1925" s="4"/>
      <c r="J1925" s="4"/>
      <c r="K1925" s="4"/>
      <c r="L1925" s="4"/>
      <c r="M1925" s="4"/>
      <c r="N1925" s="4"/>
      <c r="O1925" s="6"/>
    </row>
    <row r="1926" spans="2:15" s="46" customFormat="1">
      <c r="B1926" s="3"/>
      <c r="C1926" s="3"/>
      <c r="G1926" s="4"/>
      <c r="H1926" s="4"/>
      <c r="I1926" s="4"/>
      <c r="J1926" s="4"/>
      <c r="K1926" s="4"/>
      <c r="L1926" s="4"/>
      <c r="M1926" s="4"/>
      <c r="N1926" s="4"/>
      <c r="O1926" s="6"/>
    </row>
    <row r="1927" spans="2:15" s="46" customFormat="1">
      <c r="B1927" s="3"/>
      <c r="C1927" s="3"/>
      <c r="G1927" s="4"/>
      <c r="H1927" s="4"/>
      <c r="I1927" s="4"/>
      <c r="J1927" s="4"/>
      <c r="K1927" s="4"/>
      <c r="L1927" s="4"/>
      <c r="M1927" s="4"/>
      <c r="N1927" s="4"/>
      <c r="O1927" s="6"/>
    </row>
    <row r="1928" spans="2:15" s="46" customFormat="1">
      <c r="B1928" s="3"/>
      <c r="C1928" s="3"/>
      <c r="G1928" s="4"/>
      <c r="H1928" s="4"/>
      <c r="I1928" s="4"/>
      <c r="J1928" s="4"/>
      <c r="K1928" s="4"/>
      <c r="L1928" s="4"/>
      <c r="M1928" s="4"/>
      <c r="N1928" s="4"/>
      <c r="O1928" s="6"/>
    </row>
    <row r="1929" spans="2:15" s="46" customFormat="1">
      <c r="B1929" s="3"/>
      <c r="C1929" s="3"/>
      <c r="G1929" s="4"/>
      <c r="H1929" s="4"/>
      <c r="I1929" s="4"/>
      <c r="J1929" s="4"/>
      <c r="K1929" s="4"/>
      <c r="L1929" s="4"/>
      <c r="M1929" s="4"/>
      <c r="N1929" s="4"/>
      <c r="O1929" s="6"/>
    </row>
    <row r="1930" spans="2:15" s="46" customFormat="1">
      <c r="B1930" s="3"/>
      <c r="C1930" s="3"/>
      <c r="G1930" s="4"/>
      <c r="H1930" s="4"/>
      <c r="I1930" s="4"/>
      <c r="J1930" s="4"/>
      <c r="K1930" s="4"/>
      <c r="L1930" s="4"/>
      <c r="M1930" s="4"/>
      <c r="N1930" s="4"/>
      <c r="O1930" s="6"/>
    </row>
    <row r="1931" spans="2:15" s="46" customFormat="1">
      <c r="B1931" s="3"/>
      <c r="C1931" s="3"/>
      <c r="G1931" s="4"/>
      <c r="H1931" s="4"/>
      <c r="I1931" s="4"/>
      <c r="J1931" s="4"/>
      <c r="K1931" s="4"/>
      <c r="L1931" s="4"/>
      <c r="M1931" s="4"/>
      <c r="N1931" s="4"/>
      <c r="O1931" s="6"/>
    </row>
    <row r="1932" spans="2:15" s="46" customFormat="1">
      <c r="B1932" s="3"/>
      <c r="C1932" s="3"/>
      <c r="G1932" s="4"/>
      <c r="H1932" s="4"/>
      <c r="I1932" s="4"/>
      <c r="J1932" s="4"/>
      <c r="K1932" s="4"/>
      <c r="L1932" s="4"/>
      <c r="M1932" s="4"/>
      <c r="N1932" s="4"/>
      <c r="O1932" s="6"/>
    </row>
    <row r="1933" spans="2:15" s="46" customFormat="1">
      <c r="B1933" s="3"/>
      <c r="C1933" s="3"/>
      <c r="G1933" s="4"/>
      <c r="H1933" s="4"/>
      <c r="I1933" s="4"/>
      <c r="J1933" s="4"/>
      <c r="K1933" s="4"/>
      <c r="L1933" s="4"/>
      <c r="M1933" s="4"/>
      <c r="N1933" s="4"/>
      <c r="O1933" s="6"/>
    </row>
    <row r="1934" spans="2:15" s="46" customFormat="1">
      <c r="B1934" s="3"/>
      <c r="C1934" s="3"/>
      <c r="G1934" s="4"/>
      <c r="H1934" s="4"/>
      <c r="I1934" s="4"/>
      <c r="J1934" s="4"/>
      <c r="K1934" s="4"/>
      <c r="L1934" s="4"/>
      <c r="M1934" s="4"/>
      <c r="N1934" s="4"/>
      <c r="O1934" s="6"/>
    </row>
    <row r="1935" spans="2:15" s="46" customFormat="1">
      <c r="B1935" s="3"/>
      <c r="C1935" s="3"/>
      <c r="G1935" s="4"/>
      <c r="H1935" s="4"/>
      <c r="I1935" s="4"/>
      <c r="J1935" s="4"/>
      <c r="K1935" s="4"/>
      <c r="L1935" s="4"/>
      <c r="M1935" s="4"/>
      <c r="N1935" s="4"/>
      <c r="O1935" s="6"/>
    </row>
    <row r="1936" spans="2:15" s="46" customFormat="1">
      <c r="B1936" s="3"/>
      <c r="C1936" s="3"/>
      <c r="G1936" s="4"/>
      <c r="H1936" s="4"/>
      <c r="I1936" s="4"/>
      <c r="J1936" s="4"/>
      <c r="K1936" s="4"/>
      <c r="L1936" s="4"/>
      <c r="M1936" s="4"/>
      <c r="N1936" s="4"/>
      <c r="O1936" s="6"/>
    </row>
    <row r="1937" spans="2:15" s="46" customFormat="1">
      <c r="B1937" s="3"/>
      <c r="C1937" s="3"/>
      <c r="G1937" s="4"/>
      <c r="H1937" s="4"/>
      <c r="I1937" s="4"/>
      <c r="J1937" s="4"/>
      <c r="K1937" s="4"/>
      <c r="L1937" s="4"/>
      <c r="M1937" s="4"/>
      <c r="N1937" s="4"/>
      <c r="O1937" s="6"/>
    </row>
    <row r="1938" spans="2:15" s="46" customFormat="1">
      <c r="B1938" s="3"/>
      <c r="C1938" s="3"/>
      <c r="G1938" s="4"/>
      <c r="H1938" s="4"/>
      <c r="I1938" s="4"/>
      <c r="J1938" s="4"/>
      <c r="K1938" s="4"/>
      <c r="L1938" s="4"/>
      <c r="M1938" s="4"/>
      <c r="N1938" s="4"/>
      <c r="O1938" s="6"/>
    </row>
    <row r="1939" spans="2:15" s="46" customFormat="1">
      <c r="B1939" s="3"/>
      <c r="C1939" s="3"/>
      <c r="G1939" s="4"/>
      <c r="H1939" s="4"/>
      <c r="I1939" s="4"/>
      <c r="J1939" s="4"/>
      <c r="K1939" s="4"/>
      <c r="L1939" s="4"/>
      <c r="M1939" s="4"/>
      <c r="N1939" s="4"/>
      <c r="O1939" s="6"/>
    </row>
    <row r="1940" spans="2:15" s="46" customFormat="1">
      <c r="B1940" s="3"/>
      <c r="C1940" s="3"/>
      <c r="G1940" s="4"/>
      <c r="H1940" s="4"/>
      <c r="I1940" s="4"/>
      <c r="J1940" s="4"/>
      <c r="K1940" s="4"/>
      <c r="L1940" s="4"/>
      <c r="M1940" s="4"/>
      <c r="N1940" s="4"/>
      <c r="O1940" s="6"/>
    </row>
    <row r="1941" spans="2:15" s="46" customFormat="1">
      <c r="B1941" s="3"/>
      <c r="C1941" s="3"/>
      <c r="G1941" s="4"/>
      <c r="H1941" s="4"/>
      <c r="I1941" s="4"/>
      <c r="J1941" s="4"/>
      <c r="K1941" s="4"/>
      <c r="L1941" s="4"/>
      <c r="M1941" s="4"/>
      <c r="N1941" s="4"/>
      <c r="O1941" s="6"/>
    </row>
    <row r="1942" spans="2:15" s="46" customFormat="1">
      <c r="B1942" s="3"/>
      <c r="C1942" s="3"/>
      <c r="G1942" s="4"/>
      <c r="H1942" s="4"/>
      <c r="I1942" s="4"/>
      <c r="J1942" s="4"/>
      <c r="K1942" s="4"/>
      <c r="L1942" s="4"/>
      <c r="M1942" s="4"/>
      <c r="N1942" s="4"/>
      <c r="O1942" s="6"/>
    </row>
    <row r="1943" spans="2:15" s="46" customFormat="1">
      <c r="B1943" s="3"/>
      <c r="C1943" s="3"/>
      <c r="G1943" s="4"/>
      <c r="H1943" s="4"/>
      <c r="I1943" s="4"/>
      <c r="J1943" s="4"/>
      <c r="K1943" s="4"/>
      <c r="L1943" s="4"/>
      <c r="M1943" s="4"/>
      <c r="N1943" s="4"/>
      <c r="O1943" s="6"/>
    </row>
    <row r="1944" spans="2:15" s="46" customFormat="1">
      <c r="B1944" s="3"/>
      <c r="C1944" s="3"/>
      <c r="G1944" s="4"/>
      <c r="H1944" s="4"/>
      <c r="I1944" s="4"/>
      <c r="J1944" s="4"/>
      <c r="K1944" s="4"/>
      <c r="L1944" s="4"/>
      <c r="M1944" s="4"/>
      <c r="N1944" s="4"/>
      <c r="O1944" s="6"/>
    </row>
    <row r="1945" spans="2:15" s="46" customFormat="1">
      <c r="B1945" s="3"/>
      <c r="C1945" s="3"/>
      <c r="G1945" s="4"/>
      <c r="H1945" s="4"/>
      <c r="I1945" s="4"/>
      <c r="J1945" s="4"/>
      <c r="K1945" s="4"/>
      <c r="L1945" s="4"/>
      <c r="M1945" s="4"/>
      <c r="N1945" s="4"/>
      <c r="O1945" s="6"/>
    </row>
    <row r="1946" spans="2:15" s="46" customFormat="1">
      <c r="B1946" s="3"/>
      <c r="C1946" s="3"/>
      <c r="G1946" s="4"/>
      <c r="H1946" s="4"/>
      <c r="I1946" s="4"/>
      <c r="J1946" s="4"/>
      <c r="K1946" s="4"/>
      <c r="L1946" s="4"/>
      <c r="M1946" s="4"/>
      <c r="N1946" s="4"/>
      <c r="O1946" s="6"/>
    </row>
    <row r="1947" spans="2:15" s="46" customFormat="1">
      <c r="B1947" s="3"/>
      <c r="C1947" s="3"/>
      <c r="G1947" s="4"/>
      <c r="H1947" s="4"/>
      <c r="I1947" s="4"/>
      <c r="J1947" s="4"/>
      <c r="K1947" s="4"/>
      <c r="L1947" s="4"/>
      <c r="M1947" s="4"/>
      <c r="N1947" s="4"/>
      <c r="O1947" s="6"/>
    </row>
    <row r="1948" spans="2:15" s="46" customFormat="1">
      <c r="B1948" s="3"/>
      <c r="C1948" s="3"/>
      <c r="G1948" s="4"/>
      <c r="H1948" s="4"/>
      <c r="I1948" s="4"/>
      <c r="J1948" s="4"/>
      <c r="K1948" s="4"/>
      <c r="L1948" s="4"/>
      <c r="M1948" s="4"/>
      <c r="N1948" s="4"/>
      <c r="O1948" s="6"/>
    </row>
    <row r="1949" spans="2:15" s="46" customFormat="1">
      <c r="B1949" s="3"/>
      <c r="C1949" s="3"/>
      <c r="G1949" s="4"/>
      <c r="H1949" s="4"/>
      <c r="I1949" s="4"/>
      <c r="J1949" s="4"/>
      <c r="K1949" s="4"/>
      <c r="L1949" s="4"/>
      <c r="M1949" s="4"/>
      <c r="N1949" s="4"/>
      <c r="O1949" s="6"/>
    </row>
    <row r="1950" spans="2:15" s="46" customFormat="1">
      <c r="B1950" s="3"/>
      <c r="C1950" s="3"/>
      <c r="G1950" s="4"/>
      <c r="H1950" s="4"/>
      <c r="I1950" s="4"/>
      <c r="J1950" s="4"/>
      <c r="K1950" s="4"/>
      <c r="L1950" s="4"/>
      <c r="M1950" s="4"/>
      <c r="N1950" s="4"/>
      <c r="O1950" s="6"/>
    </row>
    <row r="1951" spans="2:15" s="46" customFormat="1">
      <c r="B1951" s="3"/>
      <c r="C1951" s="3"/>
      <c r="G1951" s="4"/>
      <c r="H1951" s="4"/>
      <c r="I1951" s="4"/>
      <c r="J1951" s="4"/>
      <c r="K1951" s="4"/>
      <c r="L1951" s="4"/>
      <c r="M1951" s="4"/>
      <c r="N1951" s="4"/>
      <c r="O1951" s="6"/>
    </row>
    <row r="1952" spans="2:15" s="46" customFormat="1">
      <c r="B1952" s="3"/>
      <c r="C1952" s="3"/>
      <c r="G1952" s="4"/>
      <c r="H1952" s="4"/>
      <c r="I1952" s="4"/>
      <c r="J1952" s="4"/>
      <c r="K1952" s="4"/>
      <c r="L1952" s="4"/>
      <c r="M1952" s="4"/>
      <c r="N1952" s="4"/>
      <c r="O1952" s="6"/>
    </row>
    <row r="1953" spans="2:15" s="46" customFormat="1">
      <c r="B1953" s="3"/>
      <c r="C1953" s="3"/>
      <c r="G1953" s="4"/>
      <c r="H1953" s="4"/>
      <c r="I1953" s="4"/>
      <c r="J1953" s="4"/>
      <c r="K1953" s="4"/>
      <c r="L1953" s="4"/>
      <c r="M1953" s="4"/>
      <c r="N1953" s="4"/>
      <c r="O1953" s="6"/>
    </row>
    <row r="1954" spans="2:15" s="46" customFormat="1">
      <c r="B1954" s="3"/>
      <c r="C1954" s="3"/>
      <c r="G1954" s="4"/>
      <c r="H1954" s="4"/>
      <c r="I1954" s="4"/>
      <c r="J1954" s="4"/>
      <c r="K1954" s="4"/>
      <c r="L1954" s="4"/>
      <c r="M1954" s="4"/>
      <c r="N1954" s="4"/>
      <c r="O1954" s="6"/>
    </row>
    <row r="1955" spans="2:15" s="46" customFormat="1">
      <c r="B1955" s="3"/>
      <c r="C1955" s="3"/>
      <c r="G1955" s="4"/>
      <c r="H1955" s="4"/>
      <c r="I1955" s="4"/>
      <c r="J1955" s="4"/>
      <c r="K1955" s="4"/>
      <c r="L1955" s="4"/>
      <c r="M1955" s="4"/>
      <c r="N1955" s="4"/>
      <c r="O1955" s="6"/>
    </row>
    <row r="1956" spans="2:15" s="46" customFormat="1">
      <c r="B1956" s="3"/>
      <c r="C1956" s="3"/>
      <c r="G1956" s="4"/>
      <c r="H1956" s="4"/>
      <c r="I1956" s="4"/>
      <c r="J1956" s="4"/>
      <c r="K1956" s="4"/>
      <c r="L1956" s="4"/>
      <c r="M1956" s="4"/>
      <c r="N1956" s="4"/>
      <c r="O1956" s="6"/>
    </row>
    <row r="1957" spans="2:15" s="46" customFormat="1">
      <c r="B1957" s="3"/>
      <c r="C1957" s="3"/>
      <c r="G1957" s="4"/>
      <c r="H1957" s="4"/>
      <c r="I1957" s="4"/>
      <c r="J1957" s="4"/>
      <c r="K1957" s="4"/>
      <c r="L1957" s="4"/>
      <c r="M1957" s="4"/>
      <c r="N1957" s="4"/>
      <c r="O1957" s="6"/>
    </row>
    <row r="1958" spans="2:15" s="46" customFormat="1">
      <c r="B1958" s="3"/>
      <c r="C1958" s="3"/>
      <c r="G1958" s="4"/>
      <c r="H1958" s="4"/>
      <c r="I1958" s="4"/>
      <c r="J1958" s="4"/>
      <c r="K1958" s="4"/>
      <c r="L1958" s="4"/>
      <c r="M1958" s="4"/>
      <c r="N1958" s="4"/>
      <c r="O1958" s="6"/>
    </row>
    <row r="1959" spans="2:15" s="46" customFormat="1">
      <c r="B1959" s="3"/>
      <c r="C1959" s="3"/>
      <c r="G1959" s="4"/>
      <c r="H1959" s="4"/>
      <c r="I1959" s="4"/>
      <c r="J1959" s="4"/>
      <c r="K1959" s="4"/>
      <c r="L1959" s="4"/>
      <c r="M1959" s="4"/>
      <c r="N1959" s="4"/>
      <c r="O1959" s="6"/>
    </row>
    <row r="1960" spans="2:15" s="46" customFormat="1">
      <c r="B1960" s="3"/>
      <c r="C1960" s="3"/>
      <c r="G1960" s="4"/>
      <c r="H1960" s="4"/>
      <c r="I1960" s="4"/>
      <c r="J1960" s="4"/>
      <c r="K1960" s="4"/>
      <c r="L1960" s="4"/>
      <c r="M1960" s="4"/>
      <c r="N1960" s="4"/>
      <c r="O1960" s="6"/>
    </row>
    <row r="1961" spans="2:15" s="46" customFormat="1">
      <c r="B1961" s="3"/>
      <c r="C1961" s="3"/>
      <c r="G1961" s="4"/>
      <c r="H1961" s="4"/>
      <c r="I1961" s="4"/>
      <c r="J1961" s="4"/>
      <c r="K1961" s="4"/>
      <c r="L1961" s="4"/>
      <c r="M1961" s="4"/>
      <c r="N1961" s="4"/>
      <c r="O1961" s="6"/>
    </row>
    <row r="1962" spans="2:15" s="46" customFormat="1">
      <c r="B1962" s="3"/>
      <c r="C1962" s="3"/>
      <c r="G1962" s="4"/>
      <c r="H1962" s="4"/>
      <c r="I1962" s="4"/>
      <c r="J1962" s="4"/>
      <c r="K1962" s="4"/>
      <c r="L1962" s="4"/>
      <c r="M1962" s="4"/>
      <c r="N1962" s="4"/>
      <c r="O1962" s="6"/>
    </row>
    <row r="1963" spans="2:15" s="46" customFormat="1">
      <c r="B1963" s="3"/>
      <c r="C1963" s="3"/>
      <c r="G1963" s="4"/>
      <c r="H1963" s="4"/>
      <c r="I1963" s="4"/>
      <c r="J1963" s="4"/>
      <c r="K1963" s="4"/>
      <c r="L1963" s="4"/>
      <c r="M1963" s="4"/>
      <c r="N1963" s="4"/>
      <c r="O1963" s="6"/>
    </row>
    <row r="1964" spans="2:15" s="46" customFormat="1">
      <c r="B1964" s="3"/>
      <c r="C1964" s="3"/>
      <c r="G1964" s="4"/>
      <c r="H1964" s="4"/>
      <c r="I1964" s="4"/>
      <c r="J1964" s="4"/>
      <c r="K1964" s="4"/>
      <c r="L1964" s="4"/>
      <c r="M1964" s="4"/>
      <c r="N1964" s="4"/>
      <c r="O1964" s="6"/>
    </row>
    <row r="1965" spans="2:15" s="46" customFormat="1">
      <c r="B1965" s="3"/>
      <c r="C1965" s="3"/>
      <c r="G1965" s="4"/>
      <c r="H1965" s="4"/>
      <c r="I1965" s="4"/>
      <c r="J1965" s="4"/>
      <c r="K1965" s="4"/>
      <c r="L1965" s="4"/>
      <c r="M1965" s="4"/>
      <c r="N1965" s="4"/>
      <c r="O1965" s="6"/>
    </row>
    <row r="1966" spans="2:15" s="46" customFormat="1">
      <c r="B1966" s="3"/>
      <c r="C1966" s="3"/>
      <c r="G1966" s="4"/>
      <c r="H1966" s="4"/>
      <c r="I1966" s="4"/>
      <c r="J1966" s="4"/>
      <c r="K1966" s="4"/>
      <c r="L1966" s="4"/>
      <c r="M1966" s="4"/>
      <c r="N1966" s="4"/>
      <c r="O1966" s="6"/>
    </row>
    <row r="1967" spans="2:15" s="46" customFormat="1">
      <c r="B1967" s="3"/>
      <c r="C1967" s="3"/>
      <c r="G1967" s="4"/>
      <c r="H1967" s="4"/>
      <c r="I1967" s="4"/>
      <c r="J1967" s="4"/>
      <c r="K1967" s="4"/>
      <c r="L1967" s="4"/>
      <c r="M1967" s="4"/>
      <c r="N1967" s="4"/>
      <c r="O1967" s="6"/>
    </row>
    <row r="1968" spans="2:15" s="46" customFormat="1">
      <c r="B1968" s="3"/>
      <c r="C1968" s="3"/>
      <c r="G1968" s="4"/>
      <c r="H1968" s="4"/>
      <c r="I1968" s="4"/>
      <c r="J1968" s="4"/>
      <c r="K1968" s="4"/>
      <c r="L1968" s="4"/>
      <c r="M1968" s="4"/>
      <c r="N1968" s="4"/>
      <c r="O1968" s="6"/>
    </row>
    <row r="1969" spans="2:15" s="46" customFormat="1">
      <c r="B1969" s="3"/>
      <c r="C1969" s="3"/>
      <c r="G1969" s="4"/>
      <c r="H1969" s="4"/>
      <c r="I1969" s="4"/>
      <c r="J1969" s="4"/>
      <c r="K1969" s="4"/>
      <c r="L1969" s="4"/>
      <c r="M1969" s="4"/>
      <c r="N1969" s="4"/>
      <c r="O1969" s="6"/>
    </row>
    <row r="1970" spans="2:15" s="46" customFormat="1">
      <c r="B1970" s="3"/>
      <c r="C1970" s="3"/>
      <c r="G1970" s="4"/>
      <c r="H1970" s="4"/>
      <c r="I1970" s="4"/>
      <c r="J1970" s="4"/>
      <c r="K1970" s="4"/>
      <c r="L1970" s="4"/>
      <c r="M1970" s="4"/>
      <c r="N1970" s="4"/>
      <c r="O1970" s="6"/>
    </row>
    <row r="1971" spans="2:15" s="46" customFormat="1">
      <c r="B1971" s="3"/>
      <c r="C1971" s="3"/>
      <c r="G1971" s="4"/>
      <c r="H1971" s="4"/>
      <c r="I1971" s="4"/>
      <c r="J1971" s="4"/>
      <c r="K1971" s="4"/>
      <c r="L1971" s="4"/>
      <c r="M1971" s="4"/>
      <c r="N1971" s="4"/>
      <c r="O1971" s="6"/>
    </row>
    <row r="1972" spans="2:15" s="46" customFormat="1">
      <c r="B1972" s="3"/>
      <c r="C1972" s="3"/>
      <c r="G1972" s="4"/>
      <c r="H1972" s="4"/>
      <c r="I1972" s="4"/>
      <c r="J1972" s="4"/>
      <c r="K1972" s="4"/>
      <c r="L1972" s="4"/>
      <c r="M1972" s="4"/>
      <c r="N1972" s="4"/>
      <c r="O1972" s="6"/>
    </row>
    <row r="1973" spans="2:15" s="46" customFormat="1">
      <c r="B1973" s="3"/>
      <c r="C1973" s="3"/>
      <c r="G1973" s="4"/>
      <c r="H1973" s="4"/>
      <c r="I1973" s="4"/>
      <c r="J1973" s="4"/>
      <c r="K1973" s="4"/>
      <c r="L1973" s="4"/>
      <c r="M1973" s="4"/>
      <c r="N1973" s="4"/>
      <c r="O1973" s="6"/>
    </row>
    <row r="1974" spans="2:15" s="46" customFormat="1">
      <c r="B1974" s="3"/>
      <c r="C1974" s="3"/>
      <c r="G1974" s="4"/>
      <c r="H1974" s="4"/>
      <c r="I1974" s="4"/>
      <c r="J1974" s="4"/>
      <c r="K1974" s="4"/>
      <c r="L1974" s="4"/>
      <c r="M1974" s="4"/>
      <c r="N1974" s="4"/>
      <c r="O1974" s="6"/>
    </row>
    <row r="1975" spans="2:15" s="46" customFormat="1">
      <c r="B1975" s="3"/>
      <c r="C1975" s="3"/>
      <c r="G1975" s="4"/>
      <c r="H1975" s="4"/>
      <c r="I1975" s="4"/>
      <c r="J1975" s="4"/>
      <c r="K1975" s="4"/>
      <c r="L1975" s="4"/>
      <c r="M1975" s="4"/>
      <c r="N1975" s="4"/>
      <c r="O1975" s="6"/>
    </row>
    <row r="1976" spans="2:15" s="46" customFormat="1">
      <c r="B1976" s="3"/>
      <c r="C1976" s="3"/>
      <c r="G1976" s="4"/>
      <c r="H1976" s="4"/>
      <c r="I1976" s="4"/>
      <c r="J1976" s="4"/>
      <c r="K1976" s="4"/>
      <c r="L1976" s="4"/>
      <c r="M1976" s="4"/>
      <c r="N1976" s="4"/>
      <c r="O1976" s="6"/>
    </row>
    <row r="1977" spans="2:15" s="46" customFormat="1">
      <c r="B1977" s="3"/>
      <c r="C1977" s="3"/>
      <c r="G1977" s="4"/>
      <c r="H1977" s="4"/>
      <c r="I1977" s="4"/>
      <c r="J1977" s="4"/>
      <c r="K1977" s="4"/>
      <c r="L1977" s="4"/>
      <c r="M1977" s="4"/>
      <c r="N1977" s="4"/>
      <c r="O1977" s="6"/>
    </row>
    <row r="1978" spans="2:15" s="46" customFormat="1">
      <c r="B1978" s="3"/>
      <c r="C1978" s="3"/>
      <c r="G1978" s="4"/>
      <c r="H1978" s="4"/>
      <c r="I1978" s="4"/>
      <c r="J1978" s="4"/>
      <c r="K1978" s="4"/>
      <c r="L1978" s="4"/>
      <c r="M1978" s="4"/>
      <c r="N1978" s="4"/>
      <c r="O1978" s="6"/>
    </row>
    <row r="1979" spans="2:15" s="46" customFormat="1">
      <c r="B1979" s="3"/>
      <c r="C1979" s="3"/>
      <c r="G1979" s="4"/>
      <c r="H1979" s="4"/>
      <c r="I1979" s="4"/>
      <c r="J1979" s="4"/>
      <c r="K1979" s="4"/>
      <c r="L1979" s="4"/>
      <c r="M1979" s="4"/>
      <c r="N1979" s="4"/>
      <c r="O1979" s="6"/>
    </row>
    <row r="1980" spans="2:15" s="46" customFormat="1">
      <c r="B1980" s="3"/>
      <c r="C1980" s="3"/>
      <c r="G1980" s="4"/>
      <c r="H1980" s="4"/>
      <c r="I1980" s="4"/>
      <c r="J1980" s="4"/>
      <c r="K1980" s="4"/>
      <c r="L1980" s="4"/>
      <c r="M1980" s="4"/>
      <c r="N1980" s="4"/>
      <c r="O1980" s="6"/>
    </row>
    <row r="1981" spans="2:15" s="46" customFormat="1">
      <c r="B1981" s="3"/>
      <c r="C1981" s="3"/>
      <c r="G1981" s="4"/>
      <c r="H1981" s="4"/>
      <c r="I1981" s="4"/>
      <c r="J1981" s="4"/>
      <c r="K1981" s="4"/>
      <c r="L1981" s="4"/>
      <c r="M1981" s="4"/>
      <c r="N1981" s="4"/>
      <c r="O1981" s="6"/>
    </row>
    <row r="1982" spans="2:15" s="46" customFormat="1">
      <c r="B1982" s="3"/>
      <c r="C1982" s="3"/>
      <c r="G1982" s="4"/>
      <c r="H1982" s="4"/>
      <c r="I1982" s="4"/>
      <c r="J1982" s="4"/>
      <c r="K1982" s="4"/>
      <c r="L1982" s="4"/>
      <c r="M1982" s="4"/>
      <c r="N1982" s="4"/>
      <c r="O1982" s="6"/>
    </row>
    <row r="1983" spans="2:15" s="46" customFormat="1">
      <c r="B1983" s="3"/>
      <c r="C1983" s="3"/>
      <c r="G1983" s="4"/>
      <c r="H1983" s="4"/>
      <c r="I1983" s="4"/>
      <c r="J1983" s="4"/>
      <c r="K1983" s="4"/>
      <c r="L1983" s="4"/>
      <c r="M1983" s="4"/>
      <c r="N1983" s="4"/>
      <c r="O1983" s="6"/>
    </row>
    <row r="1984" spans="2:15" s="46" customFormat="1">
      <c r="B1984" s="3"/>
      <c r="C1984" s="3"/>
      <c r="G1984" s="4"/>
      <c r="H1984" s="4"/>
      <c r="I1984" s="4"/>
      <c r="J1984" s="4"/>
      <c r="K1984" s="4"/>
      <c r="L1984" s="4"/>
      <c r="M1984" s="4"/>
      <c r="N1984" s="4"/>
      <c r="O1984" s="6"/>
    </row>
    <row r="1985" spans="2:15" s="46" customFormat="1">
      <c r="B1985" s="3"/>
      <c r="C1985" s="3"/>
      <c r="G1985" s="4"/>
      <c r="H1985" s="4"/>
      <c r="I1985" s="4"/>
      <c r="J1985" s="4"/>
      <c r="K1985" s="4"/>
      <c r="L1985" s="4"/>
      <c r="M1985" s="4"/>
      <c r="N1985" s="4"/>
      <c r="O1985" s="6"/>
    </row>
    <row r="1986" spans="2:15" s="46" customFormat="1">
      <c r="B1986" s="3"/>
      <c r="C1986" s="3"/>
      <c r="G1986" s="4"/>
      <c r="H1986" s="4"/>
      <c r="I1986" s="4"/>
      <c r="J1986" s="4"/>
      <c r="K1986" s="4"/>
      <c r="L1986" s="4"/>
      <c r="M1986" s="4"/>
      <c r="N1986" s="4"/>
      <c r="O1986" s="6"/>
    </row>
    <row r="1987" spans="2:15" s="46" customFormat="1">
      <c r="B1987" s="3"/>
      <c r="C1987" s="3"/>
      <c r="G1987" s="4"/>
      <c r="H1987" s="4"/>
      <c r="I1987" s="4"/>
      <c r="J1987" s="4"/>
      <c r="K1987" s="4"/>
      <c r="L1987" s="4"/>
      <c r="M1987" s="4"/>
      <c r="N1987" s="4"/>
      <c r="O1987" s="6"/>
    </row>
    <row r="1988" spans="2:15" s="46" customFormat="1">
      <c r="B1988" s="3"/>
      <c r="C1988" s="3"/>
      <c r="G1988" s="4"/>
      <c r="H1988" s="4"/>
      <c r="I1988" s="4"/>
      <c r="J1988" s="4"/>
      <c r="K1988" s="4"/>
      <c r="L1988" s="4"/>
      <c r="M1988" s="4"/>
      <c r="N1988" s="4"/>
      <c r="O1988" s="6"/>
    </row>
    <row r="1989" spans="2:15" s="46" customFormat="1">
      <c r="B1989" s="3"/>
      <c r="C1989" s="3"/>
      <c r="G1989" s="4"/>
      <c r="H1989" s="4"/>
      <c r="I1989" s="4"/>
      <c r="J1989" s="4"/>
      <c r="K1989" s="4"/>
      <c r="L1989" s="4"/>
      <c r="M1989" s="4"/>
      <c r="N1989" s="4"/>
      <c r="O1989" s="6"/>
    </row>
    <row r="1990" spans="2:15" s="46" customFormat="1">
      <c r="B1990" s="3"/>
      <c r="C1990" s="3"/>
      <c r="G1990" s="4"/>
      <c r="H1990" s="4"/>
      <c r="I1990" s="4"/>
      <c r="J1990" s="4"/>
      <c r="K1990" s="4"/>
      <c r="L1990" s="4"/>
      <c r="M1990" s="4"/>
      <c r="N1990" s="4"/>
      <c r="O1990" s="6"/>
    </row>
    <row r="1991" spans="2:15" s="46" customFormat="1">
      <c r="B1991" s="3"/>
      <c r="C1991" s="3"/>
      <c r="G1991" s="4"/>
      <c r="H1991" s="4"/>
      <c r="I1991" s="4"/>
      <c r="J1991" s="4"/>
      <c r="K1991" s="4"/>
      <c r="L1991" s="4"/>
      <c r="M1991" s="4"/>
      <c r="N1991" s="4"/>
      <c r="O1991" s="6"/>
    </row>
    <row r="1992" spans="2:15" s="46" customFormat="1">
      <c r="B1992" s="3"/>
      <c r="C1992" s="3"/>
      <c r="G1992" s="4"/>
      <c r="H1992" s="4"/>
      <c r="I1992" s="4"/>
      <c r="J1992" s="4"/>
      <c r="K1992" s="4"/>
      <c r="L1992" s="4"/>
      <c r="M1992" s="4"/>
      <c r="N1992" s="4"/>
      <c r="O1992" s="6"/>
    </row>
    <row r="1993" spans="2:15" s="46" customFormat="1">
      <c r="B1993" s="3"/>
      <c r="C1993" s="3"/>
      <c r="G1993" s="4"/>
      <c r="H1993" s="4"/>
      <c r="I1993" s="4"/>
      <c r="J1993" s="4"/>
      <c r="K1993" s="4"/>
      <c r="L1993" s="4"/>
      <c r="M1993" s="4"/>
      <c r="N1993" s="4"/>
      <c r="O1993" s="6"/>
    </row>
    <row r="1994" spans="2:15" s="46" customFormat="1">
      <c r="B1994" s="3"/>
      <c r="C1994" s="3"/>
      <c r="G1994" s="4"/>
      <c r="H1994" s="4"/>
      <c r="I1994" s="4"/>
      <c r="J1994" s="4"/>
      <c r="K1994" s="4"/>
      <c r="L1994" s="4"/>
      <c r="M1994" s="4"/>
      <c r="N1994" s="4"/>
      <c r="O1994" s="6"/>
    </row>
    <row r="1995" spans="2:15" s="46" customFormat="1">
      <c r="B1995" s="3"/>
      <c r="C1995" s="3"/>
      <c r="G1995" s="4"/>
      <c r="H1995" s="4"/>
      <c r="I1995" s="4"/>
      <c r="J1995" s="4"/>
      <c r="K1995" s="4"/>
      <c r="L1995" s="4"/>
      <c r="M1995" s="4"/>
      <c r="N1995" s="4"/>
      <c r="O1995" s="6"/>
    </row>
    <row r="1996" spans="2:15" s="46" customFormat="1">
      <c r="B1996" s="3"/>
      <c r="C1996" s="3"/>
      <c r="G1996" s="4"/>
      <c r="H1996" s="4"/>
      <c r="I1996" s="4"/>
      <c r="J1996" s="4"/>
      <c r="K1996" s="4"/>
      <c r="L1996" s="4"/>
      <c r="M1996" s="4"/>
      <c r="N1996" s="4"/>
      <c r="O1996" s="6"/>
    </row>
    <row r="1997" spans="2:15" s="46" customFormat="1">
      <c r="B1997" s="3"/>
      <c r="C1997" s="3"/>
      <c r="G1997" s="4"/>
      <c r="H1997" s="4"/>
      <c r="I1997" s="4"/>
      <c r="J1997" s="4"/>
      <c r="K1997" s="4"/>
      <c r="L1997" s="4"/>
      <c r="M1997" s="4"/>
      <c r="N1997" s="4"/>
      <c r="O1997" s="6"/>
    </row>
    <row r="1998" spans="2:15" s="46" customFormat="1">
      <c r="B1998" s="3"/>
      <c r="C1998" s="3"/>
      <c r="G1998" s="4"/>
      <c r="H1998" s="4"/>
      <c r="I1998" s="4"/>
      <c r="J1998" s="4"/>
      <c r="K1998" s="4"/>
      <c r="L1998" s="4"/>
      <c r="M1998" s="4"/>
      <c r="N1998" s="4"/>
      <c r="O1998" s="6"/>
    </row>
    <row r="1999" spans="2:15" s="46" customFormat="1">
      <c r="B1999" s="3"/>
      <c r="C1999" s="3"/>
      <c r="G1999" s="4"/>
      <c r="H1999" s="4"/>
      <c r="I1999" s="4"/>
      <c r="J1999" s="4"/>
      <c r="K1999" s="4"/>
      <c r="L1999" s="4"/>
      <c r="M1999" s="4"/>
      <c r="N1999" s="4"/>
      <c r="O1999" s="6"/>
    </row>
    <row r="2000" spans="2:15" s="46" customFormat="1">
      <c r="B2000" s="3"/>
      <c r="C2000" s="3"/>
      <c r="G2000" s="4"/>
      <c r="H2000" s="4"/>
      <c r="I2000" s="4"/>
      <c r="J2000" s="4"/>
      <c r="K2000" s="4"/>
      <c r="L2000" s="4"/>
      <c r="M2000" s="4"/>
      <c r="N2000" s="4"/>
      <c r="O2000" s="6"/>
    </row>
    <row r="2001" spans="2:15" s="46" customFormat="1">
      <c r="B2001" s="3"/>
      <c r="C2001" s="3"/>
      <c r="G2001" s="4"/>
      <c r="H2001" s="4"/>
      <c r="I2001" s="4"/>
      <c r="J2001" s="4"/>
      <c r="K2001" s="4"/>
      <c r="L2001" s="4"/>
      <c r="M2001" s="4"/>
      <c r="N2001" s="4"/>
      <c r="O2001" s="6"/>
    </row>
    <row r="2002" spans="2:15" s="46" customFormat="1">
      <c r="B2002" s="3"/>
      <c r="C2002" s="3"/>
      <c r="G2002" s="4"/>
      <c r="H2002" s="4"/>
      <c r="I2002" s="4"/>
      <c r="J2002" s="4"/>
      <c r="K2002" s="4"/>
      <c r="L2002" s="4"/>
      <c r="M2002" s="4"/>
      <c r="N2002" s="4"/>
      <c r="O2002" s="6"/>
    </row>
    <row r="2003" spans="2:15" s="46" customFormat="1">
      <c r="B2003" s="3"/>
      <c r="C2003" s="3"/>
      <c r="G2003" s="4"/>
      <c r="H2003" s="4"/>
      <c r="I2003" s="4"/>
      <c r="J2003" s="4"/>
      <c r="K2003" s="4"/>
      <c r="L2003" s="4"/>
      <c r="M2003" s="4"/>
      <c r="N2003" s="4"/>
      <c r="O2003" s="6"/>
    </row>
    <row r="2004" spans="2:15" s="46" customFormat="1">
      <c r="B2004" s="3"/>
      <c r="C2004" s="3"/>
      <c r="G2004" s="4"/>
      <c r="H2004" s="4"/>
      <c r="I2004" s="4"/>
      <c r="J2004" s="4"/>
      <c r="K2004" s="4"/>
      <c r="L2004" s="4"/>
      <c r="M2004" s="4"/>
      <c r="N2004" s="4"/>
      <c r="O2004" s="6"/>
    </row>
    <row r="2005" spans="2:15" s="46" customFormat="1">
      <c r="B2005" s="3"/>
      <c r="C2005" s="3"/>
      <c r="G2005" s="4"/>
      <c r="H2005" s="4"/>
      <c r="I2005" s="4"/>
      <c r="J2005" s="4"/>
      <c r="K2005" s="4"/>
      <c r="L2005" s="4"/>
      <c r="M2005" s="4"/>
      <c r="N2005" s="4"/>
      <c r="O2005" s="6"/>
    </row>
    <row r="2006" spans="2:15" s="46" customFormat="1">
      <c r="B2006" s="3"/>
      <c r="C2006" s="3"/>
      <c r="G2006" s="4"/>
      <c r="H2006" s="4"/>
      <c r="I2006" s="4"/>
      <c r="J2006" s="4"/>
      <c r="K2006" s="4"/>
      <c r="L2006" s="4"/>
      <c r="M2006" s="4"/>
      <c r="N2006" s="4"/>
      <c r="O2006" s="6"/>
    </row>
    <row r="2007" spans="2:15" s="46" customFormat="1">
      <c r="B2007" s="3"/>
      <c r="C2007" s="3"/>
      <c r="G2007" s="4"/>
      <c r="H2007" s="4"/>
      <c r="I2007" s="4"/>
      <c r="J2007" s="4"/>
      <c r="K2007" s="4"/>
      <c r="L2007" s="4"/>
      <c r="M2007" s="4"/>
      <c r="N2007" s="4"/>
      <c r="O2007" s="6"/>
    </row>
    <row r="2008" spans="2:15" s="46" customFormat="1">
      <c r="B2008" s="3"/>
      <c r="C2008" s="3"/>
      <c r="G2008" s="4"/>
      <c r="H2008" s="4"/>
      <c r="I2008" s="4"/>
      <c r="J2008" s="4"/>
      <c r="K2008" s="4"/>
      <c r="L2008" s="4"/>
      <c r="M2008" s="4"/>
      <c r="N2008" s="4"/>
      <c r="O2008" s="6"/>
    </row>
    <row r="2009" spans="2:15" s="46" customFormat="1">
      <c r="B2009" s="3"/>
      <c r="C2009" s="3"/>
      <c r="G2009" s="4"/>
      <c r="H2009" s="4"/>
      <c r="I2009" s="4"/>
      <c r="J2009" s="4"/>
      <c r="K2009" s="4"/>
      <c r="L2009" s="4"/>
      <c r="M2009" s="4"/>
      <c r="N2009" s="4"/>
      <c r="O2009" s="6"/>
    </row>
    <row r="2010" spans="2:15" s="46" customFormat="1">
      <c r="B2010" s="3"/>
      <c r="C2010" s="3"/>
      <c r="G2010" s="4"/>
      <c r="H2010" s="4"/>
      <c r="I2010" s="4"/>
      <c r="J2010" s="4"/>
      <c r="K2010" s="4"/>
      <c r="L2010" s="4"/>
      <c r="M2010" s="4"/>
      <c r="N2010" s="4"/>
      <c r="O2010" s="6"/>
    </row>
    <row r="2011" spans="2:15" s="46" customFormat="1">
      <c r="B2011" s="3"/>
      <c r="C2011" s="3"/>
      <c r="G2011" s="4"/>
      <c r="H2011" s="4"/>
      <c r="I2011" s="4"/>
      <c r="J2011" s="4"/>
      <c r="K2011" s="4"/>
      <c r="L2011" s="4"/>
      <c r="M2011" s="4"/>
      <c r="N2011" s="4"/>
      <c r="O2011" s="6"/>
    </row>
    <row r="2012" spans="2:15" s="46" customFormat="1">
      <c r="B2012" s="3"/>
      <c r="C2012" s="3"/>
      <c r="G2012" s="4"/>
      <c r="H2012" s="4"/>
      <c r="I2012" s="4"/>
      <c r="J2012" s="4"/>
      <c r="K2012" s="4"/>
      <c r="L2012" s="4"/>
      <c r="M2012" s="4"/>
      <c r="N2012" s="4"/>
      <c r="O2012" s="6"/>
    </row>
    <row r="2013" spans="2:15" s="46" customFormat="1">
      <c r="B2013" s="3"/>
      <c r="C2013" s="3"/>
      <c r="G2013" s="4"/>
      <c r="H2013" s="4"/>
      <c r="I2013" s="4"/>
      <c r="J2013" s="4"/>
      <c r="K2013" s="4"/>
      <c r="L2013" s="4"/>
      <c r="M2013" s="4"/>
      <c r="N2013" s="4"/>
      <c r="O2013" s="6"/>
    </row>
    <row r="2014" spans="2:15" s="46" customFormat="1">
      <c r="B2014" s="3"/>
      <c r="C2014" s="3"/>
      <c r="G2014" s="4"/>
      <c r="H2014" s="4"/>
      <c r="I2014" s="4"/>
      <c r="J2014" s="4"/>
      <c r="K2014" s="4"/>
      <c r="L2014" s="4"/>
      <c r="M2014" s="4"/>
      <c r="N2014" s="4"/>
      <c r="O2014" s="6"/>
    </row>
    <row r="2015" spans="2:15" s="46" customFormat="1">
      <c r="B2015" s="3"/>
      <c r="C2015" s="3"/>
      <c r="G2015" s="4"/>
      <c r="H2015" s="4"/>
      <c r="I2015" s="4"/>
      <c r="J2015" s="4"/>
      <c r="K2015" s="4"/>
      <c r="L2015" s="4"/>
      <c r="M2015" s="4"/>
      <c r="N2015" s="4"/>
      <c r="O2015" s="6"/>
    </row>
    <row r="2016" spans="2:15" s="46" customFormat="1">
      <c r="B2016" s="3"/>
      <c r="C2016" s="3"/>
      <c r="G2016" s="4"/>
      <c r="H2016" s="4"/>
      <c r="I2016" s="4"/>
      <c r="J2016" s="4"/>
      <c r="K2016" s="4"/>
      <c r="L2016" s="4"/>
      <c r="M2016" s="4"/>
      <c r="N2016" s="4"/>
      <c r="O2016" s="6"/>
    </row>
    <row r="2017" spans="2:15" s="46" customFormat="1">
      <c r="B2017" s="3"/>
      <c r="C2017" s="3"/>
      <c r="G2017" s="4"/>
      <c r="H2017" s="4"/>
      <c r="I2017" s="4"/>
      <c r="J2017" s="4"/>
      <c r="K2017" s="4"/>
      <c r="L2017" s="4"/>
      <c r="M2017" s="4"/>
      <c r="N2017" s="4"/>
      <c r="O2017" s="6"/>
    </row>
    <row r="2018" spans="2:15" s="46" customFormat="1">
      <c r="B2018" s="3"/>
      <c r="C2018" s="3"/>
      <c r="G2018" s="4"/>
      <c r="H2018" s="4"/>
      <c r="I2018" s="4"/>
      <c r="J2018" s="4"/>
      <c r="K2018" s="4"/>
      <c r="L2018" s="4"/>
      <c r="M2018" s="4"/>
      <c r="N2018" s="4"/>
      <c r="O2018" s="6"/>
    </row>
    <row r="2019" spans="2:15" s="46" customFormat="1">
      <c r="B2019" s="3"/>
      <c r="C2019" s="3"/>
      <c r="G2019" s="4"/>
      <c r="H2019" s="4"/>
      <c r="I2019" s="4"/>
      <c r="J2019" s="4"/>
      <c r="K2019" s="4"/>
      <c r="L2019" s="4"/>
      <c r="M2019" s="4"/>
      <c r="N2019" s="4"/>
      <c r="O2019" s="6"/>
    </row>
    <row r="2020" spans="2:15" s="46" customFormat="1">
      <c r="B2020" s="3"/>
      <c r="C2020" s="3"/>
      <c r="G2020" s="4"/>
      <c r="H2020" s="4"/>
      <c r="I2020" s="4"/>
      <c r="J2020" s="4"/>
      <c r="K2020" s="4"/>
      <c r="L2020" s="4"/>
      <c r="M2020" s="4"/>
      <c r="N2020" s="4"/>
      <c r="O2020" s="6"/>
    </row>
    <row r="2021" spans="2:15" s="46" customFormat="1">
      <c r="B2021" s="3"/>
      <c r="C2021" s="3"/>
      <c r="G2021" s="4"/>
      <c r="H2021" s="4"/>
      <c r="I2021" s="4"/>
      <c r="J2021" s="4"/>
      <c r="K2021" s="4"/>
      <c r="L2021" s="4"/>
      <c r="M2021" s="4"/>
      <c r="N2021" s="4"/>
      <c r="O2021" s="6"/>
    </row>
    <row r="2022" spans="2:15" s="46" customFormat="1">
      <c r="B2022" s="3"/>
      <c r="C2022" s="3"/>
      <c r="G2022" s="4"/>
      <c r="H2022" s="4"/>
      <c r="I2022" s="4"/>
      <c r="J2022" s="4"/>
      <c r="K2022" s="4"/>
      <c r="L2022" s="4"/>
      <c r="M2022" s="4"/>
      <c r="N2022" s="4"/>
      <c r="O2022" s="6"/>
    </row>
    <row r="2023" spans="2:15" s="46" customFormat="1">
      <c r="B2023" s="3"/>
      <c r="C2023" s="3"/>
      <c r="G2023" s="4"/>
      <c r="H2023" s="4"/>
      <c r="I2023" s="4"/>
      <c r="J2023" s="4"/>
      <c r="K2023" s="4"/>
      <c r="L2023" s="4"/>
      <c r="M2023" s="4"/>
      <c r="N2023" s="4"/>
      <c r="O2023" s="6"/>
    </row>
    <row r="2024" spans="2:15" s="46" customFormat="1">
      <c r="B2024" s="3"/>
      <c r="C2024" s="3"/>
      <c r="G2024" s="4"/>
      <c r="H2024" s="4"/>
      <c r="I2024" s="4"/>
      <c r="J2024" s="4"/>
      <c r="K2024" s="4"/>
      <c r="L2024" s="4"/>
      <c r="M2024" s="4"/>
      <c r="N2024" s="4"/>
      <c r="O2024" s="6"/>
    </row>
    <row r="2025" spans="2:15" s="46" customFormat="1">
      <c r="B2025" s="3"/>
      <c r="C2025" s="3"/>
      <c r="G2025" s="4"/>
      <c r="H2025" s="4"/>
      <c r="I2025" s="4"/>
      <c r="J2025" s="4"/>
      <c r="K2025" s="4"/>
      <c r="L2025" s="4"/>
      <c r="M2025" s="4"/>
      <c r="N2025" s="4"/>
      <c r="O2025" s="6"/>
    </row>
    <row r="2026" spans="2:15" s="46" customFormat="1">
      <c r="B2026" s="3"/>
      <c r="C2026" s="3"/>
      <c r="G2026" s="4"/>
      <c r="H2026" s="4"/>
      <c r="I2026" s="4"/>
      <c r="J2026" s="4"/>
      <c r="K2026" s="4"/>
      <c r="L2026" s="4"/>
      <c r="M2026" s="4"/>
      <c r="N2026" s="4"/>
      <c r="O2026" s="6"/>
    </row>
    <row r="2027" spans="2:15" s="46" customFormat="1">
      <c r="B2027" s="3"/>
      <c r="C2027" s="3"/>
      <c r="G2027" s="4"/>
      <c r="H2027" s="4"/>
      <c r="I2027" s="4"/>
      <c r="J2027" s="4"/>
      <c r="K2027" s="4"/>
      <c r="L2027" s="4"/>
      <c r="M2027" s="4"/>
      <c r="N2027" s="4"/>
      <c r="O2027" s="6"/>
    </row>
    <row r="2028" spans="2:15" s="46" customFormat="1">
      <c r="B2028" s="3"/>
      <c r="C2028" s="3"/>
      <c r="G2028" s="4"/>
      <c r="H2028" s="4"/>
      <c r="I2028" s="4"/>
      <c r="J2028" s="4"/>
      <c r="K2028" s="4"/>
      <c r="L2028" s="4"/>
      <c r="M2028" s="4"/>
      <c r="N2028" s="4"/>
      <c r="O2028" s="6"/>
    </row>
    <row r="2029" spans="2:15" s="46" customFormat="1">
      <c r="B2029" s="3"/>
      <c r="C2029" s="3"/>
      <c r="G2029" s="4"/>
      <c r="H2029" s="4"/>
      <c r="I2029" s="4"/>
      <c r="J2029" s="4"/>
      <c r="K2029" s="4"/>
      <c r="L2029" s="4"/>
      <c r="M2029" s="4"/>
      <c r="N2029" s="4"/>
      <c r="O2029" s="6"/>
    </row>
    <row r="2030" spans="2:15" s="46" customFormat="1">
      <c r="B2030" s="3"/>
      <c r="C2030" s="3"/>
      <c r="G2030" s="4"/>
      <c r="H2030" s="4"/>
      <c r="I2030" s="4"/>
      <c r="J2030" s="4"/>
      <c r="K2030" s="4"/>
      <c r="L2030" s="4"/>
      <c r="M2030" s="4"/>
      <c r="N2030" s="4"/>
      <c r="O2030" s="6"/>
    </row>
    <row r="2031" spans="2:15" s="46" customFormat="1">
      <c r="B2031" s="3"/>
      <c r="C2031" s="3"/>
      <c r="G2031" s="4"/>
      <c r="H2031" s="4"/>
      <c r="I2031" s="4"/>
      <c r="J2031" s="4"/>
      <c r="K2031" s="4"/>
      <c r="L2031" s="4"/>
      <c r="M2031" s="4"/>
      <c r="N2031" s="4"/>
      <c r="O2031" s="6"/>
    </row>
    <row r="2032" spans="2:15" s="46" customFormat="1">
      <c r="B2032" s="3"/>
      <c r="C2032" s="3"/>
      <c r="G2032" s="4"/>
      <c r="H2032" s="4"/>
      <c r="I2032" s="4"/>
      <c r="J2032" s="4"/>
      <c r="K2032" s="4"/>
      <c r="L2032" s="4"/>
      <c r="M2032" s="4"/>
      <c r="N2032" s="4"/>
      <c r="O2032" s="6"/>
    </row>
    <row r="2033" spans="2:15" s="46" customFormat="1">
      <c r="B2033" s="3"/>
      <c r="C2033" s="3"/>
      <c r="G2033" s="4"/>
      <c r="H2033" s="4"/>
      <c r="I2033" s="4"/>
      <c r="J2033" s="4"/>
      <c r="K2033" s="4"/>
      <c r="L2033" s="4"/>
      <c r="M2033" s="4"/>
      <c r="N2033" s="4"/>
      <c r="O2033" s="6"/>
    </row>
    <row r="2034" spans="2:15" s="46" customFormat="1">
      <c r="B2034" s="3"/>
      <c r="C2034" s="3"/>
      <c r="G2034" s="4"/>
      <c r="H2034" s="4"/>
      <c r="I2034" s="4"/>
      <c r="J2034" s="4"/>
      <c r="K2034" s="4"/>
      <c r="L2034" s="4"/>
      <c r="M2034" s="4"/>
      <c r="N2034" s="4"/>
      <c r="O2034" s="6"/>
    </row>
    <row r="2035" spans="2:15" s="46" customFormat="1">
      <c r="B2035" s="3"/>
      <c r="C2035" s="3"/>
      <c r="G2035" s="4"/>
      <c r="H2035" s="4"/>
      <c r="I2035" s="4"/>
      <c r="J2035" s="4"/>
      <c r="K2035" s="4"/>
      <c r="L2035" s="4"/>
      <c r="M2035" s="4"/>
      <c r="N2035" s="4"/>
      <c r="O2035" s="6"/>
    </row>
    <row r="2036" spans="2:15" s="46" customFormat="1">
      <c r="B2036" s="3"/>
      <c r="C2036" s="3"/>
      <c r="G2036" s="4"/>
      <c r="H2036" s="4"/>
      <c r="I2036" s="4"/>
      <c r="J2036" s="4"/>
      <c r="K2036" s="4"/>
      <c r="L2036" s="4"/>
      <c r="M2036" s="4"/>
      <c r="N2036" s="4"/>
      <c r="O2036" s="6"/>
    </row>
    <row r="2037" spans="2:15" s="46" customFormat="1">
      <c r="B2037" s="3"/>
      <c r="C2037" s="3"/>
      <c r="G2037" s="4"/>
      <c r="H2037" s="4"/>
      <c r="I2037" s="4"/>
      <c r="J2037" s="4"/>
      <c r="K2037" s="4"/>
      <c r="L2037" s="4"/>
      <c r="M2037" s="4"/>
      <c r="N2037" s="4"/>
      <c r="O2037" s="6"/>
    </row>
    <row r="2038" spans="2:15" s="46" customFormat="1">
      <c r="B2038" s="3"/>
      <c r="C2038" s="3"/>
      <c r="G2038" s="4"/>
      <c r="H2038" s="4"/>
      <c r="I2038" s="4"/>
      <c r="J2038" s="4"/>
      <c r="K2038" s="4"/>
      <c r="L2038" s="4"/>
      <c r="M2038" s="4"/>
      <c r="N2038" s="4"/>
      <c r="O2038" s="6"/>
    </row>
    <row r="2039" spans="2:15" s="46" customFormat="1">
      <c r="B2039" s="3"/>
      <c r="C2039" s="3"/>
      <c r="G2039" s="4"/>
      <c r="H2039" s="4"/>
      <c r="I2039" s="4"/>
      <c r="J2039" s="4"/>
      <c r="K2039" s="4"/>
      <c r="L2039" s="4"/>
      <c r="M2039" s="4"/>
      <c r="N2039" s="4"/>
      <c r="O2039" s="6"/>
    </row>
    <row r="2040" spans="2:15" s="46" customFormat="1">
      <c r="B2040" s="3"/>
      <c r="C2040" s="3"/>
      <c r="G2040" s="4"/>
      <c r="H2040" s="4"/>
      <c r="I2040" s="4"/>
      <c r="J2040" s="4"/>
      <c r="K2040" s="4"/>
      <c r="L2040" s="4"/>
      <c r="M2040" s="4"/>
      <c r="N2040" s="4"/>
      <c r="O2040" s="6"/>
    </row>
    <row r="2041" spans="2:15" s="46" customFormat="1">
      <c r="B2041" s="3"/>
      <c r="C2041" s="3"/>
      <c r="G2041" s="4"/>
      <c r="H2041" s="4"/>
      <c r="I2041" s="4"/>
      <c r="J2041" s="4"/>
      <c r="K2041" s="4"/>
      <c r="L2041" s="4"/>
      <c r="M2041" s="4"/>
      <c r="N2041" s="4"/>
      <c r="O2041" s="6"/>
    </row>
    <row r="2042" spans="2:15" s="46" customFormat="1">
      <c r="B2042" s="3"/>
      <c r="C2042" s="3"/>
      <c r="G2042" s="4"/>
      <c r="H2042" s="4"/>
      <c r="I2042" s="4"/>
      <c r="J2042" s="4"/>
      <c r="K2042" s="4"/>
      <c r="L2042" s="4"/>
      <c r="M2042" s="4"/>
      <c r="N2042" s="4"/>
      <c r="O2042" s="6"/>
    </row>
    <row r="2043" spans="2:15" s="46" customFormat="1">
      <c r="B2043" s="3"/>
      <c r="C2043" s="3"/>
      <c r="G2043" s="4"/>
      <c r="H2043" s="4"/>
      <c r="I2043" s="4"/>
      <c r="J2043" s="4"/>
      <c r="K2043" s="4"/>
      <c r="L2043" s="4"/>
      <c r="M2043" s="4"/>
      <c r="N2043" s="4"/>
      <c r="O2043" s="6"/>
    </row>
    <row r="2044" spans="2:15" s="46" customFormat="1">
      <c r="B2044" s="3"/>
      <c r="C2044" s="3"/>
      <c r="G2044" s="4"/>
      <c r="H2044" s="4"/>
      <c r="I2044" s="4"/>
      <c r="J2044" s="4"/>
      <c r="K2044" s="4"/>
      <c r="L2044" s="4"/>
      <c r="M2044" s="4"/>
      <c r="N2044" s="4"/>
      <c r="O2044" s="6"/>
    </row>
    <row r="2045" spans="2:15" s="46" customFormat="1">
      <c r="B2045" s="3"/>
      <c r="C2045" s="3"/>
      <c r="G2045" s="4"/>
      <c r="H2045" s="4"/>
      <c r="I2045" s="4"/>
      <c r="J2045" s="4"/>
      <c r="K2045" s="4"/>
      <c r="L2045" s="4"/>
      <c r="M2045" s="4"/>
      <c r="N2045" s="4"/>
      <c r="O2045" s="6"/>
    </row>
    <row r="2046" spans="2:15" s="46" customFormat="1">
      <c r="B2046" s="3"/>
      <c r="C2046" s="3"/>
      <c r="G2046" s="4"/>
      <c r="H2046" s="4"/>
      <c r="I2046" s="4"/>
      <c r="J2046" s="4"/>
      <c r="K2046" s="4"/>
      <c r="L2046" s="4"/>
      <c r="M2046" s="4"/>
      <c r="N2046" s="4"/>
      <c r="O2046" s="6"/>
    </row>
    <row r="2047" spans="2:15" s="46" customFormat="1">
      <c r="B2047" s="3"/>
      <c r="C2047" s="3"/>
      <c r="G2047" s="4"/>
      <c r="H2047" s="4"/>
      <c r="I2047" s="4"/>
      <c r="J2047" s="4"/>
      <c r="K2047" s="4"/>
      <c r="L2047" s="4"/>
      <c r="M2047" s="4"/>
      <c r="N2047" s="4"/>
      <c r="O2047" s="6"/>
    </row>
    <row r="2048" spans="2:15" s="46" customFormat="1">
      <c r="B2048" s="3"/>
      <c r="C2048" s="3"/>
      <c r="G2048" s="4"/>
      <c r="H2048" s="4"/>
      <c r="I2048" s="4"/>
      <c r="J2048" s="4"/>
      <c r="K2048" s="4"/>
      <c r="L2048" s="4"/>
      <c r="M2048" s="4"/>
      <c r="N2048" s="4"/>
      <c r="O2048" s="6"/>
    </row>
    <row r="2049" spans="2:15" s="46" customFormat="1">
      <c r="B2049" s="3"/>
      <c r="C2049" s="3"/>
      <c r="G2049" s="4"/>
      <c r="H2049" s="4"/>
      <c r="I2049" s="4"/>
      <c r="J2049" s="4"/>
      <c r="K2049" s="4"/>
      <c r="L2049" s="4"/>
      <c r="M2049" s="4"/>
      <c r="N2049" s="4"/>
      <c r="O2049" s="6"/>
    </row>
    <row r="2050" spans="2:15" s="46" customFormat="1">
      <c r="B2050" s="3"/>
      <c r="C2050" s="3"/>
      <c r="G2050" s="4"/>
      <c r="H2050" s="4"/>
      <c r="I2050" s="4"/>
      <c r="J2050" s="4"/>
      <c r="K2050" s="4"/>
      <c r="L2050" s="4"/>
      <c r="M2050" s="4"/>
      <c r="N2050" s="4"/>
      <c r="O2050" s="6"/>
    </row>
    <row r="2051" spans="2:15" s="46" customFormat="1">
      <c r="B2051" s="3"/>
      <c r="C2051" s="3"/>
      <c r="G2051" s="4"/>
      <c r="H2051" s="4"/>
      <c r="I2051" s="4"/>
      <c r="J2051" s="4"/>
      <c r="K2051" s="4"/>
      <c r="L2051" s="4"/>
      <c r="M2051" s="4"/>
      <c r="N2051" s="4"/>
      <c r="O2051" s="6"/>
    </row>
    <row r="2052" spans="2:15" s="46" customFormat="1">
      <c r="B2052" s="3"/>
      <c r="C2052" s="3"/>
      <c r="G2052" s="4"/>
      <c r="H2052" s="4"/>
      <c r="I2052" s="4"/>
      <c r="J2052" s="4"/>
      <c r="K2052" s="4"/>
      <c r="L2052" s="4"/>
      <c r="M2052" s="4"/>
      <c r="N2052" s="4"/>
      <c r="O2052" s="6"/>
    </row>
    <row r="2053" spans="2:15" s="46" customFormat="1">
      <c r="B2053" s="3"/>
      <c r="C2053" s="3"/>
      <c r="G2053" s="4"/>
      <c r="H2053" s="4"/>
      <c r="I2053" s="4"/>
      <c r="J2053" s="4"/>
      <c r="K2053" s="4"/>
      <c r="L2053" s="4"/>
      <c r="M2053" s="4"/>
      <c r="N2053" s="4"/>
      <c r="O2053" s="6"/>
    </row>
    <row r="2054" spans="2:15" s="46" customFormat="1">
      <c r="B2054" s="3"/>
      <c r="C2054" s="3"/>
      <c r="G2054" s="4"/>
      <c r="H2054" s="4"/>
      <c r="I2054" s="4"/>
      <c r="J2054" s="4"/>
      <c r="K2054" s="4"/>
      <c r="L2054" s="4"/>
      <c r="M2054" s="4"/>
      <c r="N2054" s="4"/>
      <c r="O2054" s="6"/>
    </row>
    <row r="2055" spans="2:15" s="46" customFormat="1">
      <c r="B2055" s="3"/>
      <c r="C2055" s="3"/>
      <c r="G2055" s="4"/>
      <c r="H2055" s="4"/>
      <c r="I2055" s="4"/>
      <c r="J2055" s="4"/>
      <c r="K2055" s="4"/>
      <c r="L2055" s="4"/>
      <c r="M2055" s="4"/>
      <c r="N2055" s="4"/>
      <c r="O2055" s="6"/>
    </row>
    <row r="2056" spans="2:15" s="46" customFormat="1">
      <c r="B2056" s="3"/>
      <c r="C2056" s="3"/>
      <c r="G2056" s="4"/>
      <c r="H2056" s="4"/>
      <c r="I2056" s="4"/>
      <c r="J2056" s="4"/>
      <c r="K2056" s="4"/>
      <c r="L2056" s="4"/>
      <c r="M2056" s="4"/>
      <c r="N2056" s="4"/>
      <c r="O2056" s="6"/>
    </row>
    <row r="2057" spans="2:15" s="46" customFormat="1">
      <c r="B2057" s="3"/>
      <c r="C2057" s="3"/>
      <c r="G2057" s="4"/>
      <c r="H2057" s="4"/>
      <c r="I2057" s="4"/>
      <c r="J2057" s="4"/>
      <c r="K2057" s="4"/>
      <c r="L2057" s="4"/>
      <c r="M2057" s="4"/>
      <c r="N2057" s="4"/>
      <c r="O2057" s="6"/>
    </row>
    <row r="2058" spans="2:15" s="46" customFormat="1">
      <c r="B2058" s="3"/>
      <c r="C2058" s="3"/>
      <c r="G2058" s="4"/>
      <c r="H2058" s="4"/>
      <c r="I2058" s="4"/>
      <c r="J2058" s="4"/>
      <c r="K2058" s="4"/>
      <c r="L2058" s="4"/>
      <c r="M2058" s="4"/>
      <c r="N2058" s="4"/>
      <c r="O2058" s="6"/>
    </row>
    <row r="2059" spans="2:15" s="46" customFormat="1">
      <c r="B2059" s="3"/>
      <c r="C2059" s="3"/>
      <c r="G2059" s="4"/>
      <c r="H2059" s="4"/>
      <c r="I2059" s="4"/>
      <c r="J2059" s="4"/>
      <c r="K2059" s="4"/>
      <c r="L2059" s="4"/>
      <c r="M2059" s="4"/>
      <c r="N2059" s="4"/>
      <c r="O2059" s="6"/>
    </row>
    <row r="2060" spans="2:15" s="46" customFormat="1">
      <c r="B2060" s="3"/>
      <c r="C2060" s="3"/>
      <c r="G2060" s="4"/>
      <c r="H2060" s="4"/>
      <c r="I2060" s="4"/>
      <c r="J2060" s="4"/>
      <c r="K2060" s="4"/>
      <c r="L2060" s="4"/>
      <c r="M2060" s="4"/>
      <c r="N2060" s="4"/>
      <c r="O2060" s="6"/>
    </row>
    <row r="2061" spans="2:15" s="46" customFormat="1">
      <c r="B2061" s="3"/>
      <c r="C2061" s="3"/>
      <c r="G2061" s="4"/>
      <c r="H2061" s="4"/>
      <c r="I2061" s="4"/>
      <c r="J2061" s="4"/>
      <c r="K2061" s="4"/>
      <c r="L2061" s="4"/>
      <c r="M2061" s="4"/>
      <c r="N2061" s="4"/>
      <c r="O2061" s="6"/>
    </row>
    <row r="2062" spans="2:15" s="46" customFormat="1">
      <c r="B2062" s="3"/>
      <c r="C2062" s="3"/>
      <c r="G2062" s="4"/>
      <c r="H2062" s="4"/>
      <c r="I2062" s="4"/>
      <c r="J2062" s="4"/>
      <c r="K2062" s="4"/>
      <c r="L2062" s="4"/>
      <c r="M2062" s="4"/>
      <c r="N2062" s="4"/>
      <c r="O2062" s="6"/>
    </row>
    <row r="2063" spans="2:15" s="46" customFormat="1">
      <c r="B2063" s="3"/>
      <c r="C2063" s="3"/>
      <c r="G2063" s="4"/>
      <c r="H2063" s="4"/>
      <c r="I2063" s="4"/>
      <c r="J2063" s="4"/>
      <c r="K2063" s="4"/>
      <c r="L2063" s="4"/>
      <c r="M2063" s="4"/>
      <c r="N2063" s="4"/>
      <c r="O2063" s="6"/>
    </row>
    <row r="2064" spans="2:15" s="46" customFormat="1">
      <c r="B2064" s="3"/>
      <c r="C2064" s="3"/>
      <c r="G2064" s="4"/>
      <c r="H2064" s="4"/>
      <c r="I2064" s="4"/>
      <c r="J2064" s="4"/>
      <c r="K2064" s="4"/>
      <c r="L2064" s="4"/>
      <c r="M2064" s="4"/>
      <c r="N2064" s="4"/>
      <c r="O2064" s="6"/>
    </row>
    <row r="2065" spans="2:15" s="46" customFormat="1">
      <c r="B2065" s="3"/>
      <c r="C2065" s="3"/>
      <c r="G2065" s="4"/>
      <c r="H2065" s="4"/>
      <c r="I2065" s="4"/>
      <c r="J2065" s="4"/>
      <c r="K2065" s="4"/>
      <c r="L2065" s="4"/>
      <c r="M2065" s="4"/>
      <c r="N2065" s="4"/>
      <c r="O2065" s="6"/>
    </row>
    <row r="2066" spans="2:15" s="46" customFormat="1">
      <c r="B2066" s="3"/>
      <c r="C2066" s="3"/>
      <c r="G2066" s="4"/>
      <c r="H2066" s="4"/>
      <c r="I2066" s="4"/>
      <c r="J2066" s="4"/>
      <c r="K2066" s="4"/>
      <c r="L2066" s="4"/>
      <c r="M2066" s="4"/>
      <c r="N2066" s="4"/>
      <c r="O2066" s="6"/>
    </row>
    <row r="2067" spans="2:15" s="46" customFormat="1">
      <c r="B2067" s="3"/>
      <c r="C2067" s="3"/>
      <c r="G2067" s="4"/>
      <c r="H2067" s="4"/>
      <c r="I2067" s="4"/>
      <c r="J2067" s="4"/>
      <c r="K2067" s="4"/>
      <c r="L2067" s="4"/>
      <c r="M2067" s="4"/>
      <c r="N2067" s="4"/>
      <c r="O2067" s="6"/>
    </row>
    <row r="2068" spans="2:15" s="46" customFormat="1">
      <c r="B2068" s="3"/>
      <c r="C2068" s="3"/>
      <c r="G2068" s="4"/>
      <c r="H2068" s="4"/>
      <c r="I2068" s="4"/>
      <c r="J2068" s="4"/>
      <c r="K2068" s="4"/>
      <c r="L2068" s="4"/>
      <c r="M2068" s="4"/>
      <c r="N2068" s="4"/>
      <c r="O2068" s="6"/>
    </row>
    <row r="2069" spans="2:15" s="46" customFormat="1">
      <c r="B2069" s="3"/>
      <c r="C2069" s="3"/>
      <c r="G2069" s="4"/>
      <c r="H2069" s="4"/>
      <c r="I2069" s="4"/>
      <c r="J2069" s="4"/>
      <c r="K2069" s="4"/>
      <c r="L2069" s="4"/>
      <c r="M2069" s="4"/>
      <c r="N2069" s="4"/>
      <c r="O2069" s="6"/>
    </row>
    <row r="2070" spans="2:15" s="46" customFormat="1">
      <c r="B2070" s="3"/>
      <c r="C2070" s="3"/>
      <c r="G2070" s="4"/>
      <c r="H2070" s="4"/>
      <c r="I2070" s="4"/>
      <c r="J2070" s="4"/>
      <c r="K2070" s="4"/>
      <c r="L2070" s="4"/>
      <c r="M2070" s="4"/>
      <c r="N2070" s="4"/>
      <c r="O2070" s="6"/>
    </row>
    <row r="2071" spans="2:15" s="46" customFormat="1">
      <c r="B2071" s="3"/>
      <c r="C2071" s="3"/>
      <c r="G2071" s="4"/>
      <c r="H2071" s="4"/>
      <c r="I2071" s="4"/>
      <c r="J2071" s="4"/>
      <c r="K2071" s="4"/>
      <c r="L2071" s="4"/>
      <c r="M2071" s="4"/>
      <c r="N2071" s="4"/>
      <c r="O2071" s="6"/>
    </row>
    <row r="2072" spans="2:15" s="46" customFormat="1">
      <c r="B2072" s="3"/>
      <c r="C2072" s="3"/>
      <c r="G2072" s="4"/>
      <c r="H2072" s="4"/>
      <c r="I2072" s="4"/>
      <c r="J2072" s="4"/>
      <c r="K2072" s="4"/>
      <c r="L2072" s="4"/>
      <c r="M2072" s="4"/>
      <c r="N2072" s="4"/>
      <c r="O2072" s="6"/>
    </row>
    <row r="2073" spans="2:15" s="46" customFormat="1">
      <c r="B2073" s="3"/>
      <c r="C2073" s="3"/>
      <c r="G2073" s="4"/>
      <c r="H2073" s="4"/>
      <c r="I2073" s="4"/>
      <c r="J2073" s="4"/>
      <c r="K2073" s="4"/>
      <c r="L2073" s="4"/>
      <c r="M2073" s="4"/>
      <c r="N2073" s="4"/>
      <c r="O2073" s="6"/>
    </row>
    <row r="2074" spans="2:15" s="46" customFormat="1">
      <c r="B2074" s="3"/>
      <c r="C2074" s="3"/>
      <c r="G2074" s="4"/>
      <c r="H2074" s="4"/>
      <c r="I2074" s="4"/>
      <c r="J2074" s="4"/>
      <c r="K2074" s="4"/>
      <c r="L2074" s="4"/>
      <c r="M2074" s="4"/>
      <c r="N2074" s="4"/>
      <c r="O2074" s="6"/>
    </row>
    <row r="2075" spans="2:15" s="46" customFormat="1">
      <c r="B2075" s="3"/>
      <c r="C2075" s="3"/>
      <c r="G2075" s="4"/>
      <c r="H2075" s="4"/>
      <c r="I2075" s="4"/>
      <c r="J2075" s="4"/>
      <c r="K2075" s="4"/>
      <c r="L2075" s="4"/>
      <c r="M2075" s="4"/>
      <c r="N2075" s="4"/>
      <c r="O2075" s="6"/>
    </row>
    <row r="2076" spans="2:15" s="46" customFormat="1">
      <c r="B2076" s="3"/>
      <c r="C2076" s="3"/>
      <c r="G2076" s="4"/>
      <c r="H2076" s="4"/>
      <c r="I2076" s="4"/>
      <c r="J2076" s="4"/>
      <c r="K2076" s="4"/>
      <c r="L2076" s="4"/>
      <c r="M2076" s="4"/>
      <c r="N2076" s="4"/>
      <c r="O2076" s="6"/>
    </row>
    <row r="2077" spans="2:15" s="46" customFormat="1">
      <c r="B2077" s="3"/>
      <c r="C2077" s="3"/>
      <c r="G2077" s="4"/>
      <c r="H2077" s="4"/>
      <c r="I2077" s="4"/>
      <c r="J2077" s="4"/>
      <c r="K2077" s="4"/>
      <c r="L2077" s="4"/>
      <c r="M2077" s="4"/>
      <c r="N2077" s="4"/>
      <c r="O2077" s="6"/>
    </row>
    <row r="2078" spans="2:15" s="46" customFormat="1">
      <c r="B2078" s="3"/>
      <c r="C2078" s="3"/>
      <c r="G2078" s="4"/>
      <c r="H2078" s="4"/>
      <c r="I2078" s="4"/>
      <c r="J2078" s="4"/>
      <c r="K2078" s="4"/>
      <c r="L2078" s="4"/>
      <c r="M2078" s="4"/>
      <c r="N2078" s="4"/>
      <c r="O2078" s="6"/>
    </row>
    <row r="2079" spans="2:15" s="46" customFormat="1">
      <c r="B2079" s="3"/>
      <c r="C2079" s="3"/>
      <c r="G2079" s="4"/>
      <c r="H2079" s="4"/>
      <c r="I2079" s="4"/>
      <c r="J2079" s="4"/>
      <c r="K2079" s="4"/>
      <c r="L2079" s="4"/>
      <c r="M2079" s="4"/>
      <c r="N2079" s="4"/>
      <c r="O2079" s="6"/>
    </row>
    <row r="2080" spans="2:15" s="46" customFormat="1">
      <c r="B2080" s="3"/>
      <c r="C2080" s="3"/>
      <c r="G2080" s="4"/>
      <c r="H2080" s="4"/>
      <c r="I2080" s="4"/>
      <c r="J2080" s="4"/>
      <c r="K2080" s="4"/>
      <c r="L2080" s="4"/>
      <c r="M2080" s="4"/>
      <c r="N2080" s="4"/>
      <c r="O2080" s="6"/>
    </row>
    <row r="2081" spans="2:15" s="46" customFormat="1">
      <c r="B2081" s="3"/>
      <c r="C2081" s="3"/>
      <c r="G2081" s="4"/>
      <c r="H2081" s="4"/>
      <c r="I2081" s="4"/>
      <c r="J2081" s="4"/>
      <c r="K2081" s="4"/>
      <c r="L2081" s="4"/>
      <c r="M2081" s="4"/>
      <c r="N2081" s="4"/>
      <c r="O2081" s="6"/>
    </row>
    <row r="2082" spans="2:15" s="46" customFormat="1">
      <c r="B2082" s="3"/>
      <c r="C2082" s="3"/>
      <c r="G2082" s="4"/>
      <c r="H2082" s="4"/>
      <c r="I2082" s="4"/>
      <c r="J2082" s="4"/>
      <c r="K2082" s="4"/>
      <c r="L2082" s="4"/>
      <c r="M2082" s="4"/>
      <c r="N2082" s="4"/>
      <c r="O2082" s="6"/>
    </row>
    <row r="2083" spans="2:15" s="46" customFormat="1">
      <c r="B2083" s="3"/>
      <c r="C2083" s="3"/>
      <c r="G2083" s="4"/>
      <c r="H2083" s="4"/>
      <c r="I2083" s="4"/>
      <c r="J2083" s="4"/>
      <c r="K2083" s="4"/>
      <c r="L2083" s="4"/>
      <c r="M2083" s="4"/>
      <c r="N2083" s="4"/>
      <c r="O2083" s="6"/>
    </row>
    <row r="2084" spans="2:15" s="46" customFormat="1">
      <c r="B2084" s="3"/>
      <c r="C2084" s="3"/>
      <c r="G2084" s="4"/>
      <c r="H2084" s="4"/>
      <c r="I2084" s="4"/>
      <c r="J2084" s="4"/>
      <c r="K2084" s="4"/>
      <c r="L2084" s="4"/>
      <c r="M2084" s="4"/>
      <c r="N2084" s="4"/>
      <c r="O2084" s="6"/>
    </row>
    <row r="2085" spans="2:15" s="46" customFormat="1">
      <c r="B2085" s="3"/>
      <c r="C2085" s="3"/>
      <c r="G2085" s="4"/>
      <c r="H2085" s="4"/>
      <c r="I2085" s="4"/>
      <c r="J2085" s="4"/>
      <c r="K2085" s="4"/>
      <c r="L2085" s="4"/>
      <c r="M2085" s="4"/>
      <c r="N2085" s="4"/>
      <c r="O2085" s="6"/>
    </row>
    <row r="2086" spans="2:15" s="46" customFormat="1">
      <c r="B2086" s="3"/>
      <c r="C2086" s="3"/>
      <c r="G2086" s="4"/>
      <c r="H2086" s="4"/>
      <c r="I2086" s="4"/>
      <c r="J2086" s="4"/>
      <c r="K2086" s="4"/>
      <c r="L2086" s="4"/>
      <c r="M2086" s="4"/>
      <c r="N2086" s="4"/>
      <c r="O2086" s="6"/>
    </row>
    <row r="2087" spans="2:15" s="46" customFormat="1">
      <c r="B2087" s="3"/>
      <c r="C2087" s="3"/>
      <c r="G2087" s="4"/>
      <c r="H2087" s="4"/>
      <c r="I2087" s="4"/>
      <c r="J2087" s="4"/>
      <c r="K2087" s="4"/>
      <c r="L2087" s="4"/>
      <c r="M2087" s="4"/>
      <c r="N2087" s="4"/>
      <c r="O2087" s="6"/>
    </row>
    <row r="2088" spans="2:15" s="46" customFormat="1">
      <c r="B2088" s="3"/>
      <c r="C2088" s="3"/>
      <c r="G2088" s="4"/>
      <c r="H2088" s="4"/>
      <c r="I2088" s="4"/>
      <c r="J2088" s="4"/>
      <c r="K2088" s="4"/>
      <c r="L2088" s="4"/>
      <c r="M2088" s="4"/>
      <c r="N2088" s="4"/>
      <c r="O2088" s="6"/>
    </row>
    <row r="2089" spans="2:15" s="46" customFormat="1">
      <c r="B2089" s="3"/>
      <c r="C2089" s="3"/>
      <c r="G2089" s="4"/>
      <c r="H2089" s="4"/>
      <c r="I2089" s="4"/>
      <c r="J2089" s="4"/>
      <c r="K2089" s="4"/>
      <c r="L2089" s="4"/>
      <c r="M2089" s="4"/>
      <c r="N2089" s="4"/>
      <c r="O2089" s="6"/>
    </row>
    <row r="2090" spans="2:15" s="46" customFormat="1">
      <c r="B2090" s="3"/>
      <c r="C2090" s="3"/>
      <c r="G2090" s="4"/>
      <c r="H2090" s="4"/>
      <c r="I2090" s="4"/>
      <c r="J2090" s="4"/>
      <c r="K2090" s="4"/>
      <c r="L2090" s="4"/>
      <c r="M2090" s="4"/>
      <c r="N2090" s="4"/>
      <c r="O2090" s="6"/>
    </row>
    <row r="2091" spans="2:15" s="46" customFormat="1">
      <c r="B2091" s="3"/>
      <c r="C2091" s="3"/>
      <c r="G2091" s="4"/>
      <c r="H2091" s="4"/>
      <c r="I2091" s="4"/>
      <c r="J2091" s="4"/>
      <c r="K2091" s="4"/>
      <c r="L2091" s="4"/>
      <c r="M2091" s="4"/>
      <c r="N2091" s="4"/>
      <c r="O2091" s="6"/>
    </row>
    <row r="2092" spans="2:15" s="46" customFormat="1">
      <c r="B2092" s="3"/>
      <c r="C2092" s="3"/>
      <c r="G2092" s="4"/>
      <c r="H2092" s="4"/>
      <c r="I2092" s="4"/>
      <c r="J2092" s="4"/>
      <c r="K2092" s="4"/>
      <c r="L2092" s="4"/>
      <c r="M2092" s="4"/>
      <c r="N2092" s="4"/>
      <c r="O2092" s="6"/>
    </row>
    <row r="2093" spans="2:15" s="46" customFormat="1">
      <c r="B2093" s="3"/>
      <c r="C2093" s="3"/>
      <c r="G2093" s="4"/>
      <c r="H2093" s="4"/>
      <c r="I2093" s="4"/>
      <c r="J2093" s="4"/>
      <c r="K2093" s="4"/>
      <c r="L2093" s="4"/>
      <c r="M2093" s="4"/>
      <c r="N2093" s="4"/>
      <c r="O2093" s="6"/>
    </row>
    <row r="2094" spans="2:15" s="46" customFormat="1">
      <c r="B2094" s="3"/>
      <c r="C2094" s="3"/>
      <c r="G2094" s="4"/>
      <c r="H2094" s="4"/>
      <c r="I2094" s="4"/>
      <c r="J2094" s="4"/>
      <c r="K2094" s="4"/>
      <c r="L2094" s="4"/>
      <c r="M2094" s="4"/>
      <c r="N2094" s="4"/>
      <c r="O2094" s="6"/>
    </row>
    <row r="2095" spans="2:15" s="46" customFormat="1">
      <c r="B2095" s="3"/>
      <c r="C2095" s="3"/>
      <c r="G2095" s="4"/>
      <c r="H2095" s="4"/>
      <c r="I2095" s="4"/>
      <c r="J2095" s="4"/>
      <c r="K2095" s="4"/>
      <c r="L2095" s="4"/>
      <c r="M2095" s="4"/>
      <c r="N2095" s="4"/>
      <c r="O2095" s="6"/>
    </row>
    <row r="2096" spans="2:15" s="46" customFormat="1">
      <c r="B2096" s="3"/>
      <c r="C2096" s="3"/>
      <c r="G2096" s="4"/>
      <c r="H2096" s="4"/>
      <c r="I2096" s="4"/>
      <c r="J2096" s="4"/>
      <c r="K2096" s="4"/>
      <c r="L2096" s="4"/>
      <c r="M2096" s="4"/>
      <c r="N2096" s="4"/>
      <c r="O2096" s="6"/>
    </row>
    <row r="2097" spans="2:15" s="46" customFormat="1">
      <c r="B2097" s="3"/>
      <c r="C2097" s="3"/>
      <c r="G2097" s="4"/>
      <c r="H2097" s="4"/>
      <c r="I2097" s="4"/>
      <c r="J2097" s="4"/>
      <c r="K2097" s="4"/>
      <c r="L2097" s="4"/>
      <c r="M2097" s="4"/>
      <c r="N2097" s="4"/>
      <c r="O2097" s="6"/>
    </row>
    <row r="2098" spans="2:15" s="46" customFormat="1">
      <c r="B2098" s="3"/>
      <c r="C2098" s="3"/>
      <c r="G2098" s="4"/>
      <c r="H2098" s="4"/>
      <c r="I2098" s="4"/>
      <c r="J2098" s="4"/>
      <c r="K2098" s="4"/>
      <c r="L2098" s="4"/>
      <c r="M2098" s="4"/>
      <c r="N2098" s="4"/>
      <c r="O2098" s="6"/>
    </row>
    <row r="2099" spans="2:15" s="46" customFormat="1">
      <c r="B2099" s="3"/>
      <c r="C2099" s="3"/>
      <c r="G2099" s="4"/>
      <c r="H2099" s="4"/>
      <c r="I2099" s="4"/>
      <c r="J2099" s="4"/>
      <c r="K2099" s="4"/>
      <c r="L2099" s="4"/>
      <c r="M2099" s="4"/>
      <c r="N2099" s="4"/>
      <c r="O2099" s="6"/>
    </row>
    <row r="2100" spans="2:15" s="46" customFormat="1">
      <c r="B2100" s="3"/>
      <c r="C2100" s="3"/>
      <c r="G2100" s="4"/>
      <c r="H2100" s="4"/>
      <c r="I2100" s="4"/>
      <c r="J2100" s="4"/>
      <c r="K2100" s="4"/>
      <c r="L2100" s="4"/>
      <c r="M2100" s="4"/>
      <c r="N2100" s="4"/>
      <c r="O2100" s="6"/>
    </row>
    <row r="2101" spans="2:15" s="46" customFormat="1">
      <c r="B2101" s="3"/>
      <c r="C2101" s="3"/>
      <c r="G2101" s="4"/>
      <c r="H2101" s="4"/>
      <c r="I2101" s="4"/>
      <c r="J2101" s="4"/>
      <c r="K2101" s="4"/>
      <c r="L2101" s="4"/>
      <c r="M2101" s="4"/>
      <c r="N2101" s="4"/>
      <c r="O2101" s="6"/>
    </row>
    <row r="2102" spans="2:15" s="46" customFormat="1">
      <c r="B2102" s="3"/>
      <c r="C2102" s="3"/>
      <c r="G2102" s="4"/>
      <c r="H2102" s="4"/>
      <c r="I2102" s="4"/>
      <c r="J2102" s="4"/>
      <c r="K2102" s="4"/>
      <c r="L2102" s="4"/>
      <c r="M2102" s="4"/>
      <c r="N2102" s="4"/>
      <c r="O2102" s="6"/>
    </row>
    <row r="2103" spans="2:15" s="46" customFormat="1">
      <c r="B2103" s="3"/>
      <c r="C2103" s="3"/>
      <c r="G2103" s="4"/>
      <c r="H2103" s="4"/>
      <c r="I2103" s="4"/>
      <c r="J2103" s="4"/>
      <c r="K2103" s="4"/>
      <c r="L2103" s="4"/>
      <c r="M2103" s="4"/>
      <c r="N2103" s="4"/>
      <c r="O2103" s="6"/>
    </row>
    <row r="2104" spans="2:15" s="46" customFormat="1">
      <c r="B2104" s="3"/>
      <c r="C2104" s="3"/>
      <c r="G2104" s="4"/>
      <c r="H2104" s="4"/>
      <c r="I2104" s="4"/>
      <c r="J2104" s="4"/>
      <c r="K2104" s="4"/>
      <c r="L2104" s="4"/>
      <c r="M2104" s="4"/>
      <c r="N2104" s="4"/>
      <c r="O2104" s="6"/>
    </row>
    <row r="2105" spans="2:15" s="46" customFormat="1">
      <c r="B2105" s="3"/>
      <c r="C2105" s="3"/>
      <c r="G2105" s="4"/>
      <c r="H2105" s="4"/>
      <c r="I2105" s="4"/>
      <c r="J2105" s="4"/>
      <c r="K2105" s="4"/>
      <c r="L2105" s="4"/>
      <c r="M2105" s="4"/>
      <c r="N2105" s="4"/>
      <c r="O2105" s="6"/>
    </row>
    <row r="2106" spans="2:15" s="46" customFormat="1">
      <c r="B2106" s="3"/>
      <c r="C2106" s="3"/>
      <c r="G2106" s="4"/>
      <c r="H2106" s="4"/>
      <c r="I2106" s="4"/>
      <c r="J2106" s="4"/>
      <c r="K2106" s="4"/>
      <c r="L2106" s="4"/>
      <c r="M2106" s="4"/>
      <c r="N2106" s="4"/>
      <c r="O2106" s="6"/>
    </row>
    <row r="2107" spans="2:15" s="46" customFormat="1">
      <c r="B2107" s="3"/>
      <c r="C2107" s="3"/>
      <c r="G2107" s="4"/>
      <c r="H2107" s="4"/>
      <c r="I2107" s="4"/>
      <c r="J2107" s="4"/>
      <c r="K2107" s="4"/>
      <c r="L2107" s="4"/>
      <c r="M2107" s="4"/>
      <c r="N2107" s="4"/>
      <c r="O2107" s="6"/>
    </row>
    <row r="2108" spans="2:15" s="46" customFormat="1">
      <c r="B2108" s="3"/>
      <c r="C2108" s="3"/>
      <c r="G2108" s="4"/>
      <c r="H2108" s="4"/>
      <c r="I2108" s="4"/>
      <c r="J2108" s="4"/>
      <c r="K2108" s="4"/>
      <c r="L2108" s="4"/>
      <c r="M2108" s="4"/>
      <c r="N2108" s="4"/>
      <c r="O2108" s="6"/>
    </row>
    <row r="2109" spans="2:15" s="46" customFormat="1">
      <c r="B2109" s="3"/>
      <c r="C2109" s="3"/>
      <c r="G2109" s="4"/>
      <c r="H2109" s="4"/>
      <c r="I2109" s="4"/>
      <c r="J2109" s="4"/>
      <c r="K2109" s="4"/>
      <c r="L2109" s="4"/>
      <c r="M2109" s="4"/>
      <c r="N2109" s="4"/>
      <c r="O2109" s="6"/>
    </row>
    <row r="2110" spans="2:15" s="46" customFormat="1">
      <c r="B2110" s="3"/>
      <c r="C2110" s="3"/>
      <c r="G2110" s="4"/>
      <c r="H2110" s="4"/>
      <c r="I2110" s="4"/>
      <c r="J2110" s="4"/>
      <c r="K2110" s="4"/>
      <c r="L2110" s="4"/>
      <c r="M2110" s="4"/>
      <c r="N2110" s="4"/>
      <c r="O2110" s="6"/>
    </row>
    <row r="2111" spans="2:15" s="46" customFormat="1">
      <c r="B2111" s="3"/>
      <c r="C2111" s="3"/>
      <c r="G2111" s="4"/>
      <c r="H2111" s="4"/>
      <c r="I2111" s="4"/>
      <c r="J2111" s="4"/>
      <c r="K2111" s="4"/>
      <c r="L2111" s="4"/>
      <c r="M2111" s="4"/>
      <c r="N2111" s="4"/>
      <c r="O2111" s="6"/>
    </row>
    <row r="2112" spans="2:15" s="46" customFormat="1">
      <c r="B2112" s="3"/>
      <c r="C2112" s="3"/>
      <c r="G2112" s="4"/>
      <c r="H2112" s="4"/>
      <c r="I2112" s="4"/>
      <c r="J2112" s="4"/>
      <c r="K2112" s="4"/>
      <c r="L2112" s="4"/>
      <c r="M2112" s="4"/>
      <c r="N2112" s="4"/>
      <c r="O2112" s="6"/>
    </row>
    <row r="2113" spans="2:15" s="46" customFormat="1">
      <c r="B2113" s="3"/>
      <c r="C2113" s="3"/>
      <c r="G2113" s="4"/>
      <c r="H2113" s="4"/>
      <c r="I2113" s="4"/>
      <c r="J2113" s="4"/>
      <c r="K2113" s="4"/>
      <c r="L2113" s="4"/>
      <c r="M2113" s="4"/>
      <c r="N2113" s="4"/>
      <c r="O2113" s="6"/>
    </row>
    <row r="2114" spans="2:15" s="46" customFormat="1">
      <c r="B2114" s="3"/>
      <c r="C2114" s="3"/>
      <c r="G2114" s="4"/>
      <c r="H2114" s="4"/>
      <c r="I2114" s="4"/>
      <c r="J2114" s="4"/>
      <c r="K2114" s="4"/>
      <c r="L2114" s="4"/>
      <c r="M2114" s="4"/>
      <c r="N2114" s="4"/>
      <c r="O2114" s="6"/>
    </row>
    <row r="2115" spans="2:15" s="46" customFormat="1">
      <c r="B2115" s="3"/>
      <c r="C2115" s="3"/>
      <c r="G2115" s="4"/>
      <c r="H2115" s="4"/>
      <c r="I2115" s="4"/>
      <c r="J2115" s="4"/>
      <c r="K2115" s="4"/>
      <c r="L2115" s="4"/>
      <c r="M2115" s="4"/>
      <c r="N2115" s="4"/>
      <c r="O2115" s="6"/>
    </row>
    <row r="2116" spans="2:15" s="46" customFormat="1">
      <c r="B2116" s="3"/>
      <c r="C2116" s="3"/>
      <c r="G2116" s="4"/>
      <c r="H2116" s="4"/>
      <c r="I2116" s="4"/>
      <c r="J2116" s="4"/>
      <c r="K2116" s="4"/>
      <c r="L2116" s="4"/>
      <c r="M2116" s="4"/>
      <c r="N2116" s="4"/>
      <c r="O2116" s="6"/>
    </row>
    <row r="2117" spans="2:15" s="46" customFormat="1">
      <c r="B2117" s="3"/>
      <c r="C2117" s="3"/>
      <c r="G2117" s="4"/>
      <c r="H2117" s="4"/>
      <c r="I2117" s="4"/>
      <c r="J2117" s="4"/>
      <c r="K2117" s="4"/>
      <c r="L2117" s="4"/>
      <c r="M2117" s="4"/>
      <c r="N2117" s="4"/>
      <c r="O2117" s="6"/>
    </row>
    <row r="2118" spans="2:15" s="46" customFormat="1">
      <c r="B2118" s="3"/>
      <c r="C2118" s="3"/>
      <c r="G2118" s="4"/>
      <c r="H2118" s="4"/>
      <c r="I2118" s="4"/>
      <c r="J2118" s="4"/>
      <c r="K2118" s="4"/>
      <c r="L2118" s="4"/>
      <c r="M2118" s="4"/>
      <c r="N2118" s="4"/>
      <c r="O2118" s="6"/>
    </row>
    <row r="2119" spans="2:15" s="46" customFormat="1">
      <c r="B2119" s="3"/>
      <c r="C2119" s="3"/>
      <c r="G2119" s="4"/>
      <c r="H2119" s="4"/>
      <c r="I2119" s="4"/>
      <c r="J2119" s="4"/>
      <c r="K2119" s="4"/>
      <c r="L2119" s="4"/>
      <c r="M2119" s="4"/>
      <c r="N2119" s="4"/>
      <c r="O2119" s="6"/>
    </row>
    <row r="2120" spans="2:15" s="46" customFormat="1">
      <c r="B2120" s="3"/>
      <c r="C2120" s="3"/>
      <c r="G2120" s="4"/>
      <c r="H2120" s="4"/>
      <c r="I2120" s="4"/>
      <c r="J2120" s="4"/>
      <c r="K2120" s="4"/>
      <c r="L2120" s="4"/>
      <c r="M2120" s="4"/>
      <c r="N2120" s="4"/>
      <c r="O2120" s="6"/>
    </row>
    <row r="2121" spans="2:15" s="46" customFormat="1">
      <c r="B2121" s="3"/>
      <c r="C2121" s="3"/>
      <c r="G2121" s="4"/>
      <c r="H2121" s="4"/>
      <c r="I2121" s="4"/>
      <c r="J2121" s="4"/>
      <c r="K2121" s="4"/>
      <c r="L2121" s="4"/>
      <c r="M2121" s="4"/>
      <c r="N2121" s="4"/>
      <c r="O2121" s="6"/>
    </row>
    <row r="2122" spans="2:15" s="46" customFormat="1">
      <c r="B2122" s="3"/>
      <c r="C2122" s="3"/>
      <c r="G2122" s="4"/>
      <c r="H2122" s="4"/>
      <c r="I2122" s="4"/>
      <c r="J2122" s="4"/>
      <c r="K2122" s="4"/>
      <c r="L2122" s="4"/>
      <c r="M2122" s="4"/>
      <c r="N2122" s="4"/>
      <c r="O2122" s="6"/>
    </row>
    <row r="2123" spans="2:15" s="46" customFormat="1">
      <c r="B2123" s="3"/>
      <c r="C2123" s="3"/>
      <c r="G2123" s="4"/>
      <c r="H2123" s="4"/>
      <c r="I2123" s="4"/>
      <c r="J2123" s="4"/>
      <c r="K2123" s="4"/>
      <c r="L2123" s="4"/>
      <c r="M2123" s="4"/>
      <c r="N2123" s="4"/>
      <c r="O2123" s="6"/>
    </row>
    <row r="2124" spans="2:15" s="46" customFormat="1">
      <c r="B2124" s="3"/>
      <c r="C2124" s="3"/>
      <c r="G2124" s="4"/>
      <c r="H2124" s="4"/>
      <c r="I2124" s="4"/>
      <c r="J2124" s="4"/>
      <c r="K2124" s="4"/>
      <c r="L2124" s="4"/>
      <c r="M2124" s="4"/>
      <c r="N2124" s="4"/>
      <c r="O2124" s="6"/>
    </row>
    <row r="2125" spans="2:15" s="46" customFormat="1">
      <c r="B2125" s="3"/>
      <c r="C2125" s="3"/>
      <c r="G2125" s="4"/>
      <c r="H2125" s="4"/>
      <c r="I2125" s="4"/>
      <c r="J2125" s="4"/>
      <c r="K2125" s="4"/>
      <c r="L2125" s="4"/>
      <c r="M2125" s="4"/>
      <c r="N2125" s="4"/>
      <c r="O2125" s="6"/>
    </row>
    <row r="2126" spans="2:15" s="46" customFormat="1">
      <c r="B2126" s="3"/>
      <c r="C2126" s="3"/>
      <c r="G2126" s="4"/>
      <c r="H2126" s="4"/>
      <c r="I2126" s="4"/>
      <c r="J2126" s="4"/>
      <c r="K2126" s="4"/>
      <c r="L2126" s="4"/>
      <c r="M2126" s="4"/>
      <c r="N2126" s="4"/>
      <c r="O2126" s="6"/>
    </row>
    <row r="2127" spans="2:15" s="46" customFormat="1">
      <c r="B2127" s="3"/>
      <c r="C2127" s="3"/>
      <c r="G2127" s="4"/>
      <c r="H2127" s="4"/>
      <c r="I2127" s="4"/>
      <c r="J2127" s="4"/>
      <c r="K2127" s="4"/>
      <c r="L2127" s="4"/>
      <c r="M2127" s="4"/>
      <c r="N2127" s="4"/>
      <c r="O2127" s="6"/>
    </row>
    <row r="2128" spans="2:15" s="46" customFormat="1">
      <c r="B2128" s="3"/>
      <c r="C2128" s="3"/>
      <c r="G2128" s="4"/>
      <c r="H2128" s="4"/>
      <c r="I2128" s="4"/>
      <c r="J2128" s="4"/>
      <c r="K2128" s="4"/>
      <c r="L2128" s="4"/>
      <c r="M2128" s="4"/>
      <c r="N2128" s="4"/>
      <c r="O2128" s="6"/>
    </row>
    <row r="2129" spans="2:15" s="46" customFormat="1">
      <c r="B2129" s="3"/>
      <c r="C2129" s="3"/>
      <c r="G2129" s="4"/>
      <c r="H2129" s="4"/>
      <c r="I2129" s="4"/>
      <c r="J2129" s="4"/>
      <c r="K2129" s="4"/>
      <c r="L2129" s="4"/>
      <c r="M2129" s="4"/>
      <c r="N2129" s="4"/>
      <c r="O2129" s="6"/>
    </row>
    <row r="2130" spans="2:15" s="46" customFormat="1">
      <c r="B2130" s="3"/>
      <c r="C2130" s="3"/>
      <c r="G2130" s="4"/>
      <c r="H2130" s="4"/>
      <c r="I2130" s="4"/>
      <c r="J2130" s="4"/>
      <c r="K2130" s="4"/>
      <c r="L2130" s="4"/>
      <c r="M2130" s="4"/>
      <c r="N2130" s="4"/>
      <c r="O2130" s="6"/>
    </row>
    <row r="2131" spans="2:15" s="46" customFormat="1">
      <c r="B2131" s="3"/>
      <c r="C2131" s="3"/>
      <c r="G2131" s="4"/>
      <c r="H2131" s="4"/>
      <c r="I2131" s="4"/>
      <c r="J2131" s="4"/>
      <c r="K2131" s="4"/>
      <c r="L2131" s="4"/>
      <c r="M2131" s="4"/>
      <c r="N2131" s="4"/>
      <c r="O2131" s="6"/>
    </row>
    <row r="2132" spans="2:15" s="46" customFormat="1">
      <c r="B2132" s="3"/>
      <c r="C2132" s="3"/>
      <c r="G2132" s="4"/>
      <c r="H2132" s="4"/>
      <c r="I2132" s="4"/>
      <c r="J2132" s="4"/>
      <c r="K2132" s="4"/>
      <c r="L2132" s="4"/>
      <c r="M2132" s="4"/>
      <c r="N2132" s="4"/>
      <c r="O2132" s="6"/>
    </row>
    <row r="2133" spans="2:15" s="46" customFormat="1">
      <c r="B2133" s="3"/>
      <c r="C2133" s="3"/>
      <c r="G2133" s="4"/>
      <c r="H2133" s="4"/>
      <c r="I2133" s="4"/>
      <c r="J2133" s="4"/>
      <c r="K2133" s="4"/>
      <c r="L2133" s="4"/>
      <c r="M2133" s="4"/>
      <c r="N2133" s="4"/>
      <c r="O2133" s="6"/>
    </row>
    <row r="2134" spans="2:15" s="46" customFormat="1">
      <c r="B2134" s="3"/>
      <c r="C2134" s="3"/>
      <c r="G2134" s="4"/>
      <c r="H2134" s="4"/>
      <c r="I2134" s="4"/>
      <c r="J2134" s="4"/>
      <c r="K2134" s="4"/>
      <c r="L2134" s="4"/>
      <c r="M2134" s="4"/>
      <c r="N2134" s="4"/>
      <c r="O2134" s="6"/>
    </row>
    <row r="2135" spans="2:15" s="46" customFormat="1">
      <c r="B2135" s="3"/>
      <c r="C2135" s="3"/>
      <c r="G2135" s="4"/>
      <c r="H2135" s="4"/>
      <c r="I2135" s="4"/>
      <c r="J2135" s="4"/>
      <c r="K2135" s="4"/>
      <c r="L2135" s="4"/>
      <c r="M2135" s="4"/>
      <c r="N2135" s="4"/>
      <c r="O2135" s="6"/>
    </row>
    <row r="2136" spans="2:15" s="46" customFormat="1">
      <c r="B2136" s="3"/>
      <c r="C2136" s="3"/>
      <c r="G2136" s="4"/>
      <c r="H2136" s="4"/>
      <c r="I2136" s="4"/>
      <c r="J2136" s="4"/>
      <c r="K2136" s="4"/>
      <c r="L2136" s="4"/>
      <c r="M2136" s="4"/>
      <c r="N2136" s="4"/>
      <c r="O2136" s="6"/>
    </row>
    <row r="2137" spans="2:15" s="46" customFormat="1">
      <c r="B2137" s="3"/>
      <c r="C2137" s="3"/>
      <c r="G2137" s="4"/>
      <c r="H2137" s="4"/>
      <c r="I2137" s="4"/>
      <c r="J2137" s="4"/>
      <c r="K2137" s="4"/>
      <c r="L2137" s="4"/>
      <c r="M2137" s="4"/>
      <c r="N2137" s="4"/>
      <c r="O2137" s="6"/>
    </row>
    <row r="2138" spans="2:15" s="46" customFormat="1">
      <c r="B2138" s="3"/>
      <c r="C2138" s="3"/>
      <c r="G2138" s="4"/>
      <c r="H2138" s="4"/>
      <c r="I2138" s="4"/>
      <c r="J2138" s="4"/>
      <c r="K2138" s="4"/>
      <c r="L2138" s="4"/>
      <c r="M2138" s="4"/>
      <c r="N2138" s="4"/>
      <c r="O2138" s="6"/>
    </row>
    <row r="2139" spans="2:15" s="46" customFormat="1">
      <c r="B2139" s="3"/>
      <c r="C2139" s="3"/>
      <c r="G2139" s="4"/>
      <c r="H2139" s="4"/>
      <c r="I2139" s="4"/>
      <c r="J2139" s="4"/>
      <c r="K2139" s="4"/>
      <c r="L2139" s="4"/>
      <c r="M2139" s="4"/>
      <c r="N2139" s="4"/>
      <c r="O2139" s="6"/>
    </row>
    <row r="2140" spans="2:15" s="46" customFormat="1">
      <c r="B2140" s="3"/>
      <c r="C2140" s="3"/>
      <c r="G2140" s="4"/>
      <c r="H2140" s="4"/>
      <c r="I2140" s="4"/>
      <c r="J2140" s="4"/>
      <c r="K2140" s="4"/>
      <c r="L2140" s="4"/>
      <c r="M2140" s="4"/>
      <c r="N2140" s="4"/>
      <c r="O2140" s="6"/>
    </row>
    <row r="2141" spans="2:15" s="46" customFormat="1">
      <c r="B2141" s="3"/>
      <c r="C2141" s="3"/>
      <c r="G2141" s="4"/>
      <c r="H2141" s="4"/>
      <c r="I2141" s="4"/>
      <c r="J2141" s="4"/>
      <c r="K2141" s="4"/>
      <c r="L2141" s="4"/>
      <c r="M2141" s="4"/>
      <c r="N2141" s="4"/>
      <c r="O2141" s="6"/>
    </row>
    <row r="2142" spans="2:15" s="46" customFormat="1">
      <c r="B2142" s="3"/>
      <c r="C2142" s="3"/>
      <c r="G2142" s="4"/>
      <c r="H2142" s="4"/>
      <c r="I2142" s="4"/>
      <c r="J2142" s="4"/>
      <c r="K2142" s="4"/>
      <c r="L2142" s="4"/>
      <c r="M2142" s="4"/>
      <c r="N2142" s="4"/>
      <c r="O2142" s="6"/>
    </row>
    <row r="2143" spans="2:15" s="46" customFormat="1">
      <c r="B2143" s="3"/>
      <c r="C2143" s="3"/>
      <c r="G2143" s="4"/>
      <c r="H2143" s="4"/>
      <c r="I2143" s="4"/>
      <c r="J2143" s="4"/>
      <c r="K2143" s="4"/>
      <c r="L2143" s="4"/>
      <c r="M2143" s="4"/>
      <c r="N2143" s="4"/>
      <c r="O2143" s="6"/>
    </row>
    <row r="2144" spans="2:15" s="46" customFormat="1">
      <c r="B2144" s="3"/>
      <c r="C2144" s="3"/>
      <c r="G2144" s="4"/>
      <c r="H2144" s="4"/>
      <c r="I2144" s="4"/>
      <c r="J2144" s="4"/>
      <c r="K2144" s="4"/>
      <c r="L2144" s="4"/>
      <c r="M2144" s="4"/>
      <c r="N2144" s="4"/>
      <c r="O2144" s="6"/>
    </row>
    <row r="2145" spans="2:15" s="46" customFormat="1">
      <c r="B2145" s="3"/>
      <c r="C2145" s="3"/>
      <c r="G2145" s="4"/>
      <c r="H2145" s="4"/>
      <c r="I2145" s="4"/>
      <c r="J2145" s="4"/>
      <c r="K2145" s="4"/>
      <c r="L2145" s="4"/>
      <c r="M2145" s="4"/>
      <c r="N2145" s="4"/>
      <c r="O2145" s="6"/>
    </row>
    <row r="2146" spans="2:15" s="46" customFormat="1">
      <c r="B2146" s="3"/>
      <c r="C2146" s="3"/>
      <c r="G2146" s="4"/>
      <c r="H2146" s="4"/>
      <c r="I2146" s="4"/>
      <c r="J2146" s="4"/>
      <c r="K2146" s="4"/>
      <c r="L2146" s="4"/>
      <c r="M2146" s="4"/>
      <c r="N2146" s="4"/>
      <c r="O2146" s="6"/>
    </row>
    <row r="2147" spans="2:15" s="46" customFormat="1">
      <c r="B2147" s="3"/>
      <c r="C2147" s="3"/>
      <c r="G2147" s="4"/>
      <c r="H2147" s="4"/>
      <c r="I2147" s="4"/>
      <c r="J2147" s="4"/>
      <c r="K2147" s="4"/>
      <c r="L2147" s="4"/>
      <c r="M2147" s="4"/>
      <c r="N2147" s="4"/>
      <c r="O2147" s="6"/>
    </row>
    <row r="2148" spans="2:15" s="46" customFormat="1">
      <c r="B2148" s="3"/>
      <c r="C2148" s="3"/>
      <c r="G2148" s="4"/>
      <c r="H2148" s="4"/>
      <c r="I2148" s="4"/>
      <c r="J2148" s="4"/>
      <c r="K2148" s="4"/>
      <c r="L2148" s="4"/>
      <c r="M2148" s="4"/>
      <c r="N2148" s="4"/>
      <c r="O2148" s="6"/>
    </row>
    <row r="2149" spans="2:15" s="46" customFormat="1">
      <c r="B2149" s="3"/>
      <c r="C2149" s="3"/>
      <c r="G2149" s="4"/>
      <c r="H2149" s="4"/>
      <c r="I2149" s="4"/>
      <c r="J2149" s="4"/>
      <c r="K2149" s="4"/>
      <c r="L2149" s="4"/>
      <c r="M2149" s="4"/>
      <c r="N2149" s="4"/>
      <c r="O2149" s="6"/>
    </row>
    <row r="2150" spans="2:15" s="46" customFormat="1">
      <c r="B2150" s="3"/>
      <c r="C2150" s="3"/>
      <c r="G2150" s="4"/>
      <c r="H2150" s="4"/>
      <c r="I2150" s="4"/>
      <c r="J2150" s="4"/>
      <c r="K2150" s="4"/>
      <c r="L2150" s="4"/>
      <c r="M2150" s="4"/>
      <c r="N2150" s="4"/>
      <c r="O2150" s="6"/>
    </row>
    <row r="2151" spans="2:15" s="46" customFormat="1">
      <c r="B2151" s="3"/>
      <c r="C2151" s="3"/>
      <c r="G2151" s="4"/>
      <c r="H2151" s="4"/>
      <c r="I2151" s="4"/>
      <c r="J2151" s="4"/>
      <c r="K2151" s="4"/>
      <c r="L2151" s="4"/>
      <c r="M2151" s="4"/>
      <c r="N2151" s="4"/>
      <c r="O2151" s="6"/>
    </row>
    <row r="2152" spans="2:15" s="46" customFormat="1">
      <c r="B2152" s="3"/>
      <c r="C2152" s="3"/>
      <c r="G2152" s="4"/>
      <c r="H2152" s="4"/>
      <c r="I2152" s="4"/>
      <c r="J2152" s="4"/>
      <c r="K2152" s="4"/>
      <c r="L2152" s="4"/>
      <c r="M2152" s="4"/>
      <c r="N2152" s="4"/>
      <c r="O2152" s="6"/>
    </row>
    <row r="2153" spans="2:15" s="46" customFormat="1">
      <c r="B2153" s="3"/>
      <c r="C2153" s="3"/>
      <c r="G2153" s="4"/>
      <c r="H2153" s="4"/>
      <c r="I2153" s="4"/>
      <c r="J2153" s="4"/>
      <c r="K2153" s="4"/>
      <c r="L2153" s="4"/>
      <c r="M2153" s="4"/>
      <c r="N2153" s="4"/>
      <c r="O2153" s="6"/>
    </row>
    <row r="2154" spans="2:15" s="46" customFormat="1">
      <c r="B2154" s="3"/>
      <c r="C2154" s="3"/>
      <c r="G2154" s="4"/>
      <c r="H2154" s="4"/>
      <c r="I2154" s="4"/>
      <c r="J2154" s="4"/>
      <c r="K2154" s="4"/>
      <c r="L2154" s="4"/>
      <c r="M2154" s="4"/>
      <c r="N2154" s="4"/>
      <c r="O2154" s="6"/>
    </row>
    <row r="2155" spans="2:15" s="46" customFormat="1">
      <c r="B2155" s="3"/>
      <c r="C2155" s="3"/>
      <c r="G2155" s="4"/>
      <c r="H2155" s="4"/>
      <c r="I2155" s="4"/>
      <c r="J2155" s="4"/>
      <c r="K2155" s="4"/>
      <c r="L2155" s="4"/>
      <c r="M2155" s="4"/>
      <c r="N2155" s="4"/>
      <c r="O2155" s="6"/>
    </row>
    <row r="2156" spans="2:15" s="46" customFormat="1">
      <c r="B2156" s="3"/>
      <c r="C2156" s="3"/>
      <c r="G2156" s="4"/>
      <c r="H2156" s="4"/>
      <c r="I2156" s="4"/>
      <c r="J2156" s="4"/>
      <c r="K2156" s="4"/>
      <c r="L2156" s="4"/>
      <c r="M2156" s="4"/>
      <c r="N2156" s="4"/>
      <c r="O2156" s="6"/>
    </row>
    <row r="2157" spans="2:15" s="46" customFormat="1">
      <c r="B2157" s="3"/>
      <c r="C2157" s="3"/>
      <c r="G2157" s="4"/>
      <c r="H2157" s="4"/>
      <c r="I2157" s="4"/>
      <c r="J2157" s="4"/>
      <c r="K2157" s="4"/>
      <c r="L2157" s="4"/>
      <c r="M2157" s="4"/>
      <c r="N2157" s="4"/>
      <c r="O2157" s="6"/>
    </row>
    <row r="2158" spans="2:15" s="46" customFormat="1">
      <c r="B2158" s="3"/>
      <c r="C2158" s="3"/>
      <c r="G2158" s="4"/>
      <c r="H2158" s="4"/>
      <c r="I2158" s="4"/>
      <c r="J2158" s="4"/>
      <c r="K2158" s="4"/>
      <c r="L2158" s="4"/>
      <c r="M2158" s="4"/>
      <c r="N2158" s="4"/>
      <c r="O2158" s="6"/>
    </row>
    <row r="2159" spans="2:15" s="46" customFormat="1">
      <c r="B2159" s="3"/>
      <c r="C2159" s="3"/>
      <c r="G2159" s="4"/>
      <c r="H2159" s="4"/>
      <c r="I2159" s="4"/>
      <c r="J2159" s="4"/>
      <c r="K2159" s="4"/>
      <c r="L2159" s="4"/>
      <c r="M2159" s="4"/>
      <c r="N2159" s="4"/>
      <c r="O2159" s="6"/>
    </row>
    <row r="2160" spans="2:15" s="46" customFormat="1">
      <c r="B2160" s="3"/>
      <c r="C2160" s="3"/>
      <c r="G2160" s="4"/>
      <c r="H2160" s="4"/>
      <c r="I2160" s="4"/>
      <c r="J2160" s="4"/>
      <c r="K2160" s="4"/>
      <c r="L2160" s="4"/>
      <c r="M2160" s="4"/>
      <c r="N2160" s="4"/>
      <c r="O2160" s="6"/>
    </row>
    <row r="2161" spans="2:15" s="46" customFormat="1">
      <c r="B2161" s="3"/>
      <c r="C2161" s="3"/>
      <c r="G2161" s="4"/>
      <c r="H2161" s="4"/>
      <c r="I2161" s="4"/>
      <c r="J2161" s="4"/>
      <c r="K2161" s="4"/>
      <c r="L2161" s="4"/>
      <c r="M2161" s="4"/>
      <c r="N2161" s="4"/>
      <c r="O2161" s="6"/>
    </row>
    <row r="2162" spans="2:15" s="46" customFormat="1">
      <c r="B2162" s="3"/>
      <c r="C2162" s="3"/>
      <c r="G2162" s="4"/>
      <c r="H2162" s="4"/>
      <c r="I2162" s="4"/>
      <c r="J2162" s="4"/>
      <c r="K2162" s="4"/>
      <c r="L2162" s="4"/>
      <c r="M2162" s="4"/>
      <c r="N2162" s="4"/>
      <c r="O2162" s="6"/>
    </row>
    <row r="2163" spans="2:15" s="46" customFormat="1">
      <c r="B2163" s="3"/>
      <c r="C2163" s="3"/>
      <c r="G2163" s="4"/>
      <c r="H2163" s="4"/>
      <c r="I2163" s="4"/>
      <c r="J2163" s="4"/>
      <c r="K2163" s="4"/>
      <c r="L2163" s="4"/>
      <c r="M2163" s="4"/>
      <c r="N2163" s="4"/>
      <c r="O2163" s="6"/>
    </row>
    <row r="2164" spans="2:15" s="46" customFormat="1">
      <c r="B2164" s="3"/>
      <c r="C2164" s="3"/>
      <c r="G2164" s="4"/>
      <c r="H2164" s="4"/>
      <c r="I2164" s="4"/>
      <c r="J2164" s="4"/>
      <c r="K2164" s="4"/>
      <c r="L2164" s="4"/>
      <c r="M2164" s="4"/>
      <c r="N2164" s="4"/>
      <c r="O2164" s="6"/>
    </row>
    <row r="2165" spans="2:15" s="46" customFormat="1">
      <c r="B2165" s="3"/>
      <c r="C2165" s="3"/>
      <c r="G2165" s="4"/>
      <c r="H2165" s="4"/>
      <c r="I2165" s="4"/>
      <c r="J2165" s="4"/>
      <c r="K2165" s="4"/>
      <c r="L2165" s="4"/>
      <c r="M2165" s="4"/>
      <c r="N2165" s="4"/>
      <c r="O2165" s="6"/>
    </row>
    <row r="2166" spans="2:15" s="46" customFormat="1">
      <c r="B2166" s="3"/>
      <c r="C2166" s="3"/>
      <c r="G2166" s="4"/>
      <c r="H2166" s="4"/>
      <c r="I2166" s="4"/>
      <c r="J2166" s="4"/>
      <c r="K2166" s="4"/>
      <c r="L2166" s="4"/>
      <c r="M2166" s="4"/>
      <c r="N2166" s="4"/>
      <c r="O2166" s="6"/>
    </row>
    <row r="2167" spans="2:15" s="46" customFormat="1">
      <c r="B2167" s="3"/>
      <c r="C2167" s="3"/>
      <c r="G2167" s="4"/>
      <c r="H2167" s="4"/>
      <c r="I2167" s="4"/>
      <c r="J2167" s="4"/>
      <c r="K2167" s="4"/>
      <c r="L2167" s="4"/>
      <c r="M2167" s="4"/>
      <c r="N2167" s="4"/>
      <c r="O2167" s="6"/>
    </row>
    <row r="2168" spans="2:15" s="46" customFormat="1">
      <c r="B2168" s="3"/>
      <c r="C2168" s="3"/>
      <c r="G2168" s="4"/>
      <c r="H2168" s="4"/>
      <c r="I2168" s="4"/>
      <c r="J2168" s="4"/>
      <c r="K2168" s="4"/>
      <c r="L2168" s="4"/>
      <c r="M2168" s="4"/>
      <c r="N2168" s="4"/>
      <c r="O2168" s="6"/>
    </row>
    <row r="2169" spans="2:15" s="46" customFormat="1">
      <c r="B2169" s="3"/>
      <c r="C2169" s="3"/>
      <c r="G2169" s="4"/>
      <c r="H2169" s="4"/>
      <c r="I2169" s="4"/>
      <c r="J2169" s="4"/>
      <c r="K2169" s="4"/>
      <c r="L2169" s="4"/>
      <c r="M2169" s="4"/>
      <c r="N2169" s="4"/>
      <c r="O2169" s="6"/>
    </row>
    <row r="2170" spans="2:15" s="46" customFormat="1">
      <c r="B2170" s="3"/>
      <c r="C2170" s="3"/>
      <c r="G2170" s="4"/>
      <c r="H2170" s="4"/>
      <c r="I2170" s="4"/>
      <c r="J2170" s="4"/>
      <c r="K2170" s="4"/>
      <c r="L2170" s="4"/>
      <c r="M2170" s="4"/>
      <c r="N2170" s="4"/>
      <c r="O2170" s="6"/>
    </row>
    <row r="2171" spans="2:15" s="46" customFormat="1">
      <c r="B2171" s="3"/>
      <c r="C2171" s="3"/>
      <c r="G2171" s="4"/>
      <c r="H2171" s="4"/>
      <c r="I2171" s="4"/>
      <c r="J2171" s="4"/>
      <c r="K2171" s="4"/>
      <c r="L2171" s="4"/>
      <c r="M2171" s="4"/>
      <c r="N2171" s="4"/>
      <c r="O2171" s="6"/>
    </row>
    <row r="2172" spans="2:15" s="46" customFormat="1">
      <c r="B2172" s="3"/>
      <c r="C2172" s="3"/>
      <c r="G2172" s="4"/>
      <c r="H2172" s="4"/>
      <c r="I2172" s="4"/>
      <c r="J2172" s="4"/>
      <c r="K2172" s="4"/>
      <c r="L2172" s="4"/>
      <c r="M2172" s="4"/>
      <c r="N2172" s="4"/>
      <c r="O2172" s="6"/>
    </row>
    <row r="2173" spans="2:15" s="46" customFormat="1">
      <c r="B2173" s="3"/>
      <c r="C2173" s="3"/>
      <c r="G2173" s="4"/>
      <c r="H2173" s="4"/>
      <c r="I2173" s="4"/>
      <c r="J2173" s="4"/>
      <c r="K2173" s="4"/>
      <c r="L2173" s="4"/>
      <c r="M2173" s="4"/>
      <c r="N2173" s="4"/>
      <c r="O2173" s="6"/>
    </row>
    <row r="2174" spans="2:15" s="46" customFormat="1">
      <c r="B2174" s="3"/>
      <c r="C2174" s="3"/>
      <c r="G2174" s="4"/>
      <c r="H2174" s="4"/>
      <c r="I2174" s="4"/>
      <c r="J2174" s="4"/>
      <c r="K2174" s="4"/>
      <c r="L2174" s="4"/>
      <c r="M2174" s="4"/>
      <c r="N2174" s="4"/>
      <c r="O2174" s="6"/>
    </row>
    <row r="2175" spans="2:15" s="46" customFormat="1">
      <c r="B2175" s="3"/>
      <c r="C2175" s="3"/>
      <c r="G2175" s="4"/>
      <c r="H2175" s="4"/>
      <c r="I2175" s="4"/>
      <c r="J2175" s="4"/>
      <c r="K2175" s="4"/>
      <c r="L2175" s="4"/>
      <c r="M2175" s="4"/>
      <c r="N2175" s="4"/>
      <c r="O2175" s="6"/>
    </row>
    <row r="2176" spans="2:15" s="46" customFormat="1">
      <c r="B2176" s="3"/>
      <c r="C2176" s="3"/>
      <c r="G2176" s="4"/>
      <c r="H2176" s="4"/>
      <c r="I2176" s="4"/>
      <c r="J2176" s="4"/>
      <c r="K2176" s="4"/>
      <c r="L2176" s="4"/>
      <c r="M2176" s="4"/>
      <c r="N2176" s="4"/>
      <c r="O2176" s="6"/>
    </row>
    <row r="2177" spans="2:15" s="46" customFormat="1">
      <c r="B2177" s="3"/>
      <c r="C2177" s="3"/>
      <c r="G2177" s="4"/>
      <c r="H2177" s="4"/>
      <c r="I2177" s="4"/>
      <c r="J2177" s="4"/>
      <c r="K2177" s="4"/>
      <c r="L2177" s="4"/>
      <c r="M2177" s="4"/>
      <c r="N2177" s="4"/>
      <c r="O2177" s="6"/>
    </row>
    <row r="2178" spans="2:15" s="46" customFormat="1">
      <c r="B2178" s="3"/>
      <c r="C2178" s="3"/>
      <c r="G2178" s="4"/>
      <c r="H2178" s="4"/>
      <c r="I2178" s="4"/>
      <c r="J2178" s="4"/>
      <c r="K2178" s="4"/>
      <c r="L2178" s="4"/>
      <c r="M2178" s="4"/>
      <c r="N2178" s="4"/>
      <c r="O2178" s="6"/>
    </row>
    <row r="2179" spans="2:15" s="46" customFormat="1">
      <c r="B2179" s="3"/>
      <c r="C2179" s="3"/>
      <c r="G2179" s="4"/>
      <c r="H2179" s="4"/>
      <c r="I2179" s="4"/>
      <c r="J2179" s="4"/>
      <c r="K2179" s="4"/>
      <c r="L2179" s="4"/>
      <c r="M2179" s="4"/>
      <c r="N2179" s="4"/>
      <c r="O2179" s="6"/>
    </row>
    <row r="2180" spans="2:15" s="46" customFormat="1">
      <c r="B2180" s="3"/>
      <c r="C2180" s="3"/>
      <c r="G2180" s="4"/>
      <c r="H2180" s="4"/>
      <c r="I2180" s="4"/>
      <c r="J2180" s="4"/>
      <c r="K2180" s="4"/>
      <c r="L2180" s="4"/>
      <c r="M2180" s="4"/>
      <c r="N2180" s="4"/>
      <c r="O2180" s="6"/>
    </row>
    <row r="2181" spans="2:15" s="46" customFormat="1">
      <c r="B2181" s="3"/>
      <c r="C2181" s="3"/>
      <c r="G2181" s="4"/>
      <c r="H2181" s="4"/>
      <c r="I2181" s="4"/>
      <c r="J2181" s="4"/>
      <c r="K2181" s="4"/>
      <c r="L2181" s="4"/>
      <c r="M2181" s="4"/>
      <c r="N2181" s="4"/>
      <c r="O2181" s="6"/>
    </row>
    <row r="2182" spans="2:15" s="46" customFormat="1">
      <c r="B2182" s="3"/>
      <c r="C2182" s="3"/>
      <c r="G2182" s="4"/>
      <c r="H2182" s="4"/>
      <c r="I2182" s="4"/>
      <c r="J2182" s="4"/>
      <c r="K2182" s="4"/>
      <c r="L2182" s="4"/>
      <c r="M2182" s="4"/>
      <c r="N2182" s="4"/>
      <c r="O2182" s="6"/>
    </row>
    <row r="2183" spans="2:15" s="46" customFormat="1">
      <c r="B2183" s="3"/>
      <c r="C2183" s="3"/>
      <c r="G2183" s="4"/>
      <c r="H2183" s="4"/>
      <c r="I2183" s="4"/>
      <c r="J2183" s="4"/>
      <c r="K2183" s="4"/>
      <c r="L2183" s="4"/>
      <c r="M2183" s="4"/>
      <c r="N2183" s="4"/>
      <c r="O2183" s="6"/>
    </row>
    <row r="2184" spans="2:15" s="46" customFormat="1">
      <c r="B2184" s="3"/>
      <c r="C2184" s="3"/>
      <c r="G2184" s="4"/>
      <c r="H2184" s="4"/>
      <c r="I2184" s="4"/>
      <c r="J2184" s="4"/>
      <c r="K2184" s="4"/>
      <c r="L2184" s="4"/>
      <c r="M2184" s="4"/>
      <c r="N2184" s="4"/>
      <c r="O2184" s="6"/>
    </row>
    <row r="2185" spans="2:15" s="46" customFormat="1">
      <c r="B2185" s="3"/>
      <c r="C2185" s="3"/>
      <c r="G2185" s="4"/>
      <c r="H2185" s="4"/>
      <c r="I2185" s="4"/>
      <c r="J2185" s="4"/>
      <c r="K2185" s="4"/>
      <c r="L2185" s="4"/>
      <c r="M2185" s="4"/>
      <c r="N2185" s="4"/>
      <c r="O2185" s="6"/>
    </row>
    <row r="2186" spans="2:15" s="46" customFormat="1">
      <c r="B2186" s="3"/>
      <c r="C2186" s="3"/>
      <c r="G2186" s="4"/>
      <c r="H2186" s="4"/>
      <c r="I2186" s="4"/>
      <c r="J2186" s="4"/>
      <c r="K2186" s="4"/>
      <c r="L2186" s="4"/>
      <c r="M2186" s="4"/>
      <c r="N2186" s="4"/>
      <c r="O2186" s="6"/>
    </row>
    <row r="2187" spans="2:15" s="46" customFormat="1">
      <c r="B2187" s="3"/>
      <c r="C2187" s="3"/>
      <c r="G2187" s="4"/>
      <c r="H2187" s="4"/>
      <c r="I2187" s="4"/>
      <c r="J2187" s="4"/>
      <c r="K2187" s="4"/>
      <c r="L2187" s="4"/>
      <c r="M2187" s="4"/>
      <c r="N2187" s="4"/>
      <c r="O2187" s="6"/>
    </row>
    <row r="2188" spans="2:15" s="46" customFormat="1">
      <c r="B2188" s="3"/>
      <c r="C2188" s="3"/>
      <c r="G2188" s="4"/>
      <c r="H2188" s="4"/>
      <c r="I2188" s="4"/>
      <c r="J2188" s="4"/>
      <c r="K2188" s="4"/>
      <c r="L2188" s="4"/>
      <c r="M2188" s="4"/>
      <c r="N2188" s="4"/>
      <c r="O2188" s="6"/>
    </row>
    <row r="2189" spans="2:15" s="46" customFormat="1">
      <c r="B2189" s="3"/>
      <c r="C2189" s="3"/>
      <c r="G2189" s="4"/>
      <c r="H2189" s="4"/>
      <c r="I2189" s="4"/>
      <c r="J2189" s="4"/>
      <c r="K2189" s="4"/>
      <c r="L2189" s="4"/>
      <c r="M2189" s="4"/>
      <c r="N2189" s="4"/>
      <c r="O2189" s="6"/>
    </row>
    <row r="2190" spans="2:15" s="46" customFormat="1">
      <c r="B2190" s="3"/>
      <c r="C2190" s="3"/>
      <c r="G2190" s="4"/>
      <c r="H2190" s="4"/>
      <c r="I2190" s="4"/>
      <c r="J2190" s="4"/>
      <c r="K2190" s="4"/>
      <c r="L2190" s="4"/>
      <c r="M2190" s="4"/>
      <c r="N2190" s="4"/>
      <c r="O2190" s="6"/>
    </row>
    <row r="2191" spans="2:15" s="46" customFormat="1">
      <c r="B2191" s="3"/>
      <c r="C2191" s="3"/>
      <c r="G2191" s="4"/>
      <c r="H2191" s="4"/>
      <c r="I2191" s="4"/>
      <c r="J2191" s="4"/>
      <c r="K2191" s="4"/>
      <c r="L2191" s="4"/>
      <c r="M2191" s="4"/>
      <c r="N2191" s="4"/>
      <c r="O2191" s="6"/>
    </row>
    <row r="2192" spans="2:15" s="46" customFormat="1">
      <c r="B2192" s="3"/>
      <c r="C2192" s="3"/>
      <c r="G2192" s="4"/>
      <c r="H2192" s="4"/>
      <c r="I2192" s="4"/>
      <c r="J2192" s="4"/>
      <c r="K2192" s="4"/>
      <c r="L2192" s="4"/>
      <c r="M2192" s="4"/>
      <c r="N2192" s="4"/>
      <c r="O2192" s="6"/>
    </row>
    <row r="2193" spans="2:15" s="46" customFormat="1">
      <c r="B2193" s="3"/>
      <c r="C2193" s="3"/>
      <c r="G2193" s="4"/>
      <c r="H2193" s="4"/>
      <c r="I2193" s="4"/>
      <c r="J2193" s="4"/>
      <c r="K2193" s="4"/>
      <c r="L2193" s="4"/>
      <c r="M2193" s="4"/>
      <c r="N2193" s="4"/>
      <c r="O2193" s="6"/>
    </row>
    <row r="2194" spans="2:15" s="46" customFormat="1">
      <c r="B2194" s="3"/>
      <c r="C2194" s="3"/>
      <c r="G2194" s="4"/>
      <c r="H2194" s="4"/>
      <c r="I2194" s="4"/>
      <c r="J2194" s="4"/>
      <c r="K2194" s="4"/>
      <c r="L2194" s="4"/>
      <c r="M2194" s="4"/>
      <c r="N2194" s="4"/>
      <c r="O2194" s="6"/>
    </row>
    <row r="2195" spans="2:15" s="46" customFormat="1">
      <c r="B2195" s="3"/>
      <c r="C2195" s="3"/>
      <c r="G2195" s="4"/>
      <c r="H2195" s="4"/>
      <c r="I2195" s="4"/>
      <c r="J2195" s="4"/>
      <c r="K2195" s="4"/>
      <c r="L2195" s="4"/>
      <c r="M2195" s="4"/>
      <c r="N2195" s="4"/>
      <c r="O2195" s="6"/>
    </row>
    <row r="2196" spans="2:15" s="46" customFormat="1">
      <c r="B2196" s="3"/>
      <c r="C2196" s="3"/>
      <c r="G2196" s="4"/>
      <c r="H2196" s="4"/>
      <c r="I2196" s="4"/>
      <c r="J2196" s="4"/>
      <c r="K2196" s="4"/>
      <c r="L2196" s="4"/>
      <c r="M2196" s="4"/>
      <c r="N2196" s="4"/>
      <c r="O2196" s="6"/>
    </row>
    <row r="2197" spans="2:15" s="46" customFormat="1">
      <c r="B2197" s="3"/>
      <c r="C2197" s="3"/>
      <c r="G2197" s="4"/>
      <c r="H2197" s="4"/>
      <c r="I2197" s="4"/>
      <c r="J2197" s="4"/>
      <c r="K2197" s="4"/>
      <c r="L2197" s="4"/>
      <c r="M2197" s="4"/>
      <c r="N2197" s="4"/>
      <c r="O2197" s="6"/>
    </row>
    <row r="2198" spans="2:15" s="46" customFormat="1">
      <c r="B2198" s="3"/>
      <c r="C2198" s="3"/>
      <c r="G2198" s="4"/>
      <c r="H2198" s="4"/>
      <c r="I2198" s="4"/>
      <c r="J2198" s="4"/>
      <c r="K2198" s="4"/>
      <c r="L2198" s="4"/>
      <c r="M2198" s="4"/>
      <c r="N2198" s="4"/>
      <c r="O2198" s="6"/>
    </row>
    <row r="2199" spans="2:15" s="46" customFormat="1">
      <c r="B2199" s="3"/>
      <c r="C2199" s="3"/>
      <c r="G2199" s="4"/>
      <c r="H2199" s="4"/>
      <c r="I2199" s="4"/>
      <c r="J2199" s="4"/>
      <c r="K2199" s="4"/>
      <c r="L2199" s="4"/>
      <c r="M2199" s="4"/>
      <c r="N2199" s="4"/>
      <c r="O2199" s="6"/>
    </row>
    <row r="2200" spans="2:15" s="46" customFormat="1">
      <c r="B2200" s="3"/>
      <c r="C2200" s="3"/>
      <c r="G2200" s="4"/>
      <c r="H2200" s="4"/>
      <c r="I2200" s="4"/>
      <c r="J2200" s="4"/>
      <c r="K2200" s="4"/>
      <c r="L2200" s="4"/>
      <c r="M2200" s="4"/>
      <c r="N2200" s="4"/>
      <c r="O2200" s="6"/>
    </row>
    <row r="2201" spans="2:15" s="46" customFormat="1">
      <c r="B2201" s="3"/>
      <c r="C2201" s="3"/>
      <c r="G2201" s="4"/>
      <c r="H2201" s="4"/>
      <c r="I2201" s="4"/>
      <c r="J2201" s="4"/>
      <c r="K2201" s="4"/>
      <c r="L2201" s="4"/>
      <c r="M2201" s="4"/>
      <c r="N2201" s="4"/>
      <c r="O2201" s="6"/>
    </row>
    <row r="2202" spans="2:15" s="46" customFormat="1">
      <c r="B2202" s="3"/>
      <c r="C2202" s="3"/>
      <c r="G2202" s="4"/>
      <c r="H2202" s="4"/>
      <c r="I2202" s="4"/>
      <c r="J2202" s="4"/>
      <c r="K2202" s="4"/>
      <c r="L2202" s="4"/>
      <c r="M2202" s="4"/>
      <c r="N2202" s="4"/>
      <c r="O2202" s="6"/>
    </row>
    <row r="2203" spans="2:15" s="46" customFormat="1">
      <c r="B2203" s="3"/>
      <c r="C2203" s="3"/>
      <c r="G2203" s="4"/>
      <c r="H2203" s="4"/>
      <c r="I2203" s="4"/>
      <c r="J2203" s="4"/>
      <c r="K2203" s="4"/>
      <c r="L2203" s="4"/>
      <c r="M2203" s="4"/>
      <c r="N2203" s="4"/>
      <c r="O2203" s="6"/>
    </row>
    <row r="2204" spans="2:15" s="46" customFormat="1">
      <c r="B2204" s="3"/>
      <c r="C2204" s="3"/>
      <c r="G2204" s="4"/>
      <c r="H2204" s="4"/>
      <c r="I2204" s="4"/>
      <c r="J2204" s="4"/>
      <c r="K2204" s="4"/>
      <c r="L2204" s="4"/>
      <c r="M2204" s="4"/>
      <c r="N2204" s="4"/>
      <c r="O2204" s="6"/>
    </row>
    <row r="2205" spans="2:15" s="46" customFormat="1">
      <c r="B2205" s="3"/>
      <c r="C2205" s="3"/>
      <c r="G2205" s="4"/>
      <c r="H2205" s="4"/>
      <c r="I2205" s="4"/>
      <c r="J2205" s="4"/>
      <c r="K2205" s="4"/>
      <c r="L2205" s="4"/>
      <c r="M2205" s="4"/>
      <c r="N2205" s="4"/>
      <c r="O2205" s="6"/>
    </row>
    <row r="2206" spans="2:15" s="46" customFormat="1">
      <c r="B2206" s="3"/>
      <c r="C2206" s="3"/>
      <c r="G2206" s="4"/>
      <c r="H2206" s="4"/>
      <c r="I2206" s="4"/>
      <c r="J2206" s="4"/>
      <c r="K2206" s="4"/>
      <c r="L2206" s="4"/>
      <c r="M2206" s="4"/>
      <c r="N2206" s="4"/>
      <c r="O2206" s="6"/>
    </row>
    <row r="2207" spans="2:15" s="46" customFormat="1">
      <c r="B2207" s="3"/>
      <c r="C2207" s="3"/>
      <c r="G2207" s="4"/>
      <c r="H2207" s="4"/>
      <c r="I2207" s="4"/>
      <c r="J2207" s="4"/>
      <c r="K2207" s="4"/>
      <c r="L2207" s="4"/>
      <c r="M2207" s="4"/>
      <c r="N2207" s="4"/>
      <c r="O2207" s="6"/>
    </row>
    <row r="2208" spans="2:15" s="46" customFormat="1">
      <c r="B2208" s="3"/>
      <c r="C2208" s="3"/>
      <c r="G2208" s="4"/>
      <c r="H2208" s="4"/>
      <c r="I2208" s="4"/>
      <c r="J2208" s="4"/>
      <c r="K2208" s="4"/>
      <c r="L2208" s="4"/>
      <c r="M2208" s="4"/>
      <c r="N2208" s="4"/>
      <c r="O2208" s="6"/>
    </row>
    <row r="2209" spans="2:15" s="46" customFormat="1">
      <c r="B2209" s="3"/>
      <c r="C2209" s="3"/>
      <c r="G2209" s="4"/>
      <c r="H2209" s="4"/>
      <c r="I2209" s="4"/>
      <c r="J2209" s="4"/>
      <c r="K2209" s="4"/>
      <c r="L2209" s="4"/>
      <c r="M2209" s="4"/>
      <c r="N2209" s="4"/>
      <c r="O2209" s="6"/>
    </row>
    <row r="2210" spans="2:15" s="46" customFormat="1">
      <c r="B2210" s="3"/>
      <c r="C2210" s="3"/>
      <c r="G2210" s="4"/>
      <c r="H2210" s="4"/>
      <c r="I2210" s="4"/>
      <c r="J2210" s="4"/>
      <c r="K2210" s="4"/>
      <c r="L2210" s="4"/>
      <c r="M2210" s="4"/>
      <c r="N2210" s="4"/>
      <c r="O2210" s="6"/>
    </row>
    <row r="2211" spans="2:15" s="46" customFormat="1">
      <c r="B2211" s="3"/>
      <c r="C2211" s="3"/>
      <c r="G2211" s="4"/>
      <c r="H2211" s="4"/>
      <c r="I2211" s="4"/>
      <c r="J2211" s="4"/>
      <c r="K2211" s="4"/>
      <c r="L2211" s="4"/>
      <c r="M2211" s="4"/>
      <c r="N2211" s="4"/>
      <c r="O2211" s="6"/>
    </row>
    <row r="2212" spans="2:15" s="46" customFormat="1">
      <c r="B2212" s="3"/>
      <c r="C2212" s="3"/>
      <c r="G2212" s="4"/>
      <c r="H2212" s="4"/>
      <c r="I2212" s="4"/>
      <c r="J2212" s="4"/>
      <c r="K2212" s="4"/>
      <c r="L2212" s="4"/>
      <c r="M2212" s="4"/>
      <c r="N2212" s="4"/>
      <c r="O2212" s="6"/>
    </row>
    <row r="2213" spans="2:15" s="46" customFormat="1">
      <c r="B2213" s="3"/>
      <c r="C2213" s="3"/>
      <c r="G2213" s="4"/>
      <c r="H2213" s="4"/>
      <c r="I2213" s="4"/>
      <c r="J2213" s="4"/>
      <c r="K2213" s="4"/>
      <c r="L2213" s="4"/>
      <c r="M2213" s="4"/>
      <c r="N2213" s="4"/>
      <c r="O2213" s="6"/>
    </row>
    <row r="2214" spans="2:15" s="46" customFormat="1">
      <c r="B2214" s="3"/>
      <c r="C2214" s="3"/>
      <c r="G2214" s="4"/>
      <c r="H2214" s="4"/>
      <c r="I2214" s="4"/>
      <c r="J2214" s="4"/>
      <c r="K2214" s="4"/>
      <c r="L2214" s="4"/>
      <c r="M2214" s="4"/>
      <c r="N2214" s="4"/>
      <c r="O2214" s="6"/>
    </row>
    <row r="2215" spans="2:15" s="46" customFormat="1">
      <c r="B2215" s="3"/>
      <c r="C2215" s="3"/>
      <c r="G2215" s="4"/>
      <c r="H2215" s="4"/>
      <c r="I2215" s="4"/>
      <c r="J2215" s="4"/>
      <c r="K2215" s="4"/>
      <c r="L2215" s="4"/>
      <c r="M2215" s="4"/>
      <c r="N2215" s="4"/>
      <c r="O2215" s="6"/>
    </row>
    <row r="2216" spans="2:15" s="46" customFormat="1">
      <c r="B2216" s="3"/>
      <c r="C2216" s="3"/>
      <c r="G2216" s="4"/>
      <c r="H2216" s="4"/>
      <c r="I2216" s="4"/>
      <c r="J2216" s="4"/>
      <c r="K2216" s="4"/>
      <c r="L2216" s="4"/>
      <c r="M2216" s="4"/>
      <c r="N2216" s="4"/>
      <c r="O2216" s="6"/>
    </row>
    <row r="2217" spans="2:15" s="46" customFormat="1">
      <c r="B2217" s="3"/>
      <c r="C2217" s="3"/>
      <c r="G2217" s="4"/>
      <c r="H2217" s="4"/>
      <c r="I2217" s="4"/>
      <c r="J2217" s="4"/>
      <c r="K2217" s="4"/>
      <c r="L2217" s="4"/>
      <c r="M2217" s="4"/>
      <c r="N2217" s="4"/>
      <c r="O2217" s="6"/>
    </row>
    <row r="2218" spans="2:15" s="46" customFormat="1">
      <c r="B2218" s="3"/>
      <c r="C2218" s="3"/>
      <c r="G2218" s="4"/>
      <c r="H2218" s="4"/>
      <c r="I2218" s="4"/>
      <c r="J2218" s="4"/>
      <c r="K2218" s="4"/>
      <c r="L2218" s="4"/>
      <c r="M2218" s="4"/>
      <c r="N2218" s="4"/>
      <c r="O2218" s="6"/>
    </row>
    <row r="2219" spans="2:15" s="46" customFormat="1">
      <c r="B2219" s="3"/>
      <c r="C2219" s="3"/>
      <c r="G2219" s="4"/>
      <c r="H2219" s="4"/>
      <c r="I2219" s="4"/>
      <c r="J2219" s="4"/>
      <c r="K2219" s="4"/>
      <c r="L2219" s="4"/>
      <c r="M2219" s="4"/>
      <c r="N2219" s="4"/>
      <c r="O2219" s="6"/>
    </row>
    <row r="2220" spans="2:15" s="46" customFormat="1">
      <c r="B2220" s="3"/>
      <c r="C2220" s="3"/>
      <c r="G2220" s="4"/>
      <c r="H2220" s="4"/>
      <c r="I2220" s="4"/>
      <c r="J2220" s="4"/>
      <c r="K2220" s="4"/>
      <c r="L2220" s="4"/>
      <c r="M2220" s="4"/>
      <c r="N2220" s="4"/>
      <c r="O2220" s="6"/>
    </row>
    <row r="2221" spans="2:15" s="46" customFormat="1">
      <c r="B2221" s="3"/>
      <c r="C2221" s="3"/>
      <c r="G2221" s="4"/>
      <c r="H2221" s="4"/>
      <c r="I2221" s="4"/>
      <c r="J2221" s="4"/>
      <c r="K2221" s="4"/>
      <c r="L2221" s="4"/>
      <c r="M2221" s="4"/>
      <c r="N2221" s="4"/>
      <c r="O2221" s="6"/>
    </row>
    <row r="2222" spans="2:15" s="46" customFormat="1">
      <c r="B2222" s="3"/>
      <c r="C2222" s="3"/>
      <c r="G2222" s="4"/>
      <c r="H2222" s="4"/>
      <c r="I2222" s="4"/>
      <c r="J2222" s="4"/>
      <c r="K2222" s="4"/>
      <c r="L2222" s="4"/>
      <c r="M2222" s="4"/>
      <c r="N2222" s="4"/>
      <c r="O2222" s="6"/>
    </row>
    <row r="2223" spans="2:15" s="46" customFormat="1">
      <c r="B2223" s="3"/>
      <c r="C2223" s="3"/>
      <c r="G2223" s="4"/>
      <c r="H2223" s="4"/>
      <c r="I2223" s="4"/>
      <c r="J2223" s="4"/>
      <c r="K2223" s="4"/>
      <c r="L2223" s="4"/>
      <c r="M2223" s="4"/>
      <c r="N2223" s="4"/>
      <c r="O2223" s="6"/>
    </row>
    <row r="2224" spans="2:15" s="46" customFormat="1">
      <c r="B2224" s="3"/>
      <c r="C2224" s="3"/>
      <c r="G2224" s="4"/>
      <c r="H2224" s="4"/>
      <c r="I2224" s="4"/>
      <c r="J2224" s="4"/>
      <c r="K2224" s="4"/>
      <c r="L2224" s="4"/>
      <c r="M2224" s="4"/>
      <c r="N2224" s="4"/>
      <c r="O2224" s="6"/>
    </row>
    <row r="2225" spans="2:15" s="46" customFormat="1">
      <c r="B2225" s="3"/>
      <c r="C2225" s="3"/>
      <c r="G2225" s="4"/>
      <c r="H2225" s="4"/>
      <c r="I2225" s="4"/>
      <c r="J2225" s="4"/>
      <c r="K2225" s="4"/>
      <c r="L2225" s="4"/>
      <c r="M2225" s="4"/>
      <c r="N2225" s="4"/>
      <c r="O2225" s="6"/>
    </row>
    <row r="2226" spans="2:15" s="46" customFormat="1">
      <c r="B2226" s="3"/>
      <c r="C2226" s="3"/>
      <c r="G2226" s="4"/>
      <c r="H2226" s="4"/>
      <c r="I2226" s="4"/>
      <c r="J2226" s="4"/>
      <c r="K2226" s="4"/>
      <c r="L2226" s="4"/>
      <c r="M2226" s="4"/>
      <c r="N2226" s="4"/>
      <c r="O2226" s="6"/>
    </row>
    <row r="2227" spans="2:15" s="46" customFormat="1">
      <c r="B2227" s="3"/>
      <c r="C2227" s="3"/>
      <c r="G2227" s="4"/>
      <c r="H2227" s="4"/>
      <c r="I2227" s="4"/>
      <c r="J2227" s="4"/>
      <c r="K2227" s="4"/>
      <c r="L2227" s="4"/>
      <c r="M2227" s="4"/>
      <c r="N2227" s="4"/>
      <c r="O2227" s="6"/>
    </row>
    <row r="2228" spans="2:15" s="46" customFormat="1">
      <c r="B2228" s="3"/>
      <c r="C2228" s="3"/>
      <c r="G2228" s="4"/>
      <c r="H2228" s="4"/>
      <c r="I2228" s="4"/>
      <c r="J2228" s="4"/>
      <c r="K2228" s="4"/>
      <c r="L2228" s="4"/>
      <c r="M2228" s="4"/>
      <c r="N2228" s="4"/>
      <c r="O2228" s="6"/>
    </row>
    <row r="2229" spans="2:15" s="46" customFormat="1">
      <c r="B2229" s="3"/>
      <c r="C2229" s="3"/>
      <c r="G2229" s="4"/>
      <c r="H2229" s="4"/>
      <c r="I2229" s="4"/>
      <c r="J2229" s="4"/>
      <c r="K2229" s="4"/>
      <c r="L2229" s="4"/>
      <c r="M2229" s="4"/>
      <c r="N2229" s="4"/>
      <c r="O2229" s="6"/>
    </row>
    <row r="2230" spans="2:15" s="46" customFormat="1">
      <c r="B2230" s="3"/>
      <c r="C2230" s="3"/>
      <c r="G2230" s="4"/>
      <c r="H2230" s="4"/>
      <c r="I2230" s="4"/>
      <c r="J2230" s="4"/>
      <c r="K2230" s="4"/>
      <c r="L2230" s="4"/>
      <c r="M2230" s="4"/>
      <c r="N2230" s="4"/>
      <c r="O2230" s="6"/>
    </row>
    <row r="2231" spans="2:15" s="46" customFormat="1">
      <c r="B2231" s="3"/>
      <c r="C2231" s="3"/>
      <c r="G2231" s="4"/>
      <c r="H2231" s="4"/>
      <c r="I2231" s="4"/>
      <c r="J2231" s="4"/>
      <c r="K2231" s="4"/>
      <c r="L2231" s="4"/>
      <c r="M2231" s="4"/>
      <c r="N2231" s="4"/>
      <c r="O2231" s="6"/>
    </row>
    <row r="2232" spans="2:15" s="46" customFormat="1">
      <c r="B2232" s="3"/>
      <c r="C2232" s="3"/>
      <c r="G2232" s="4"/>
      <c r="H2232" s="4"/>
      <c r="I2232" s="4"/>
      <c r="J2232" s="4"/>
      <c r="K2232" s="4"/>
      <c r="L2232" s="4"/>
      <c r="M2232" s="4"/>
      <c r="N2232" s="4"/>
      <c r="O2232" s="6"/>
    </row>
    <row r="2233" spans="2:15" s="46" customFormat="1">
      <c r="B2233" s="3"/>
      <c r="C2233" s="3"/>
      <c r="G2233" s="4"/>
      <c r="H2233" s="4"/>
      <c r="I2233" s="4"/>
      <c r="J2233" s="4"/>
      <c r="K2233" s="4"/>
      <c r="L2233" s="4"/>
      <c r="M2233" s="4"/>
      <c r="N2233" s="4"/>
      <c r="O2233" s="6"/>
    </row>
    <row r="2234" spans="2:15" s="46" customFormat="1">
      <c r="B2234" s="3"/>
      <c r="C2234" s="3"/>
      <c r="G2234" s="4"/>
      <c r="H2234" s="4"/>
      <c r="I2234" s="4"/>
      <c r="J2234" s="4"/>
      <c r="K2234" s="4"/>
      <c r="L2234" s="4"/>
      <c r="M2234" s="4"/>
      <c r="N2234" s="4"/>
      <c r="O2234" s="6"/>
    </row>
    <row r="2235" spans="2:15" s="46" customFormat="1">
      <c r="B2235" s="3"/>
      <c r="C2235" s="3"/>
      <c r="G2235" s="4"/>
      <c r="H2235" s="4"/>
      <c r="I2235" s="4"/>
      <c r="J2235" s="4"/>
      <c r="K2235" s="4"/>
      <c r="L2235" s="4"/>
      <c r="M2235" s="4"/>
      <c r="N2235" s="4"/>
      <c r="O2235" s="6"/>
    </row>
    <row r="2236" spans="2:15" s="46" customFormat="1">
      <c r="B2236" s="3"/>
      <c r="C2236" s="3"/>
      <c r="G2236" s="4"/>
      <c r="H2236" s="4"/>
      <c r="I2236" s="4"/>
      <c r="J2236" s="4"/>
      <c r="K2236" s="4"/>
      <c r="L2236" s="4"/>
      <c r="M2236" s="4"/>
      <c r="N2236" s="4"/>
      <c r="O2236" s="6"/>
    </row>
    <row r="2237" spans="2:15" s="46" customFormat="1">
      <c r="B2237" s="3"/>
      <c r="C2237" s="3"/>
      <c r="G2237" s="4"/>
      <c r="H2237" s="4"/>
      <c r="I2237" s="4"/>
      <c r="J2237" s="4"/>
      <c r="K2237" s="4"/>
      <c r="L2237" s="4"/>
      <c r="M2237" s="4"/>
      <c r="N2237" s="4"/>
      <c r="O2237" s="6"/>
    </row>
    <row r="2238" spans="2:15" s="46" customFormat="1">
      <c r="B2238" s="3"/>
      <c r="C2238" s="3"/>
      <c r="G2238" s="4"/>
      <c r="H2238" s="4"/>
      <c r="I2238" s="4"/>
      <c r="J2238" s="4"/>
      <c r="K2238" s="4"/>
      <c r="L2238" s="4"/>
      <c r="M2238" s="4"/>
      <c r="N2238" s="4"/>
      <c r="O2238" s="6"/>
    </row>
    <row r="2239" spans="2:15" s="46" customFormat="1">
      <c r="B2239" s="3"/>
      <c r="C2239" s="3"/>
      <c r="G2239" s="4"/>
      <c r="H2239" s="4"/>
      <c r="I2239" s="4"/>
      <c r="J2239" s="4"/>
      <c r="K2239" s="4"/>
      <c r="L2239" s="4"/>
      <c r="M2239" s="4"/>
      <c r="N2239" s="4"/>
      <c r="O2239" s="6"/>
    </row>
    <row r="2240" spans="2:15" s="46" customFormat="1">
      <c r="B2240" s="3"/>
      <c r="C2240" s="3"/>
      <c r="G2240" s="4"/>
      <c r="H2240" s="4"/>
      <c r="I2240" s="4"/>
      <c r="J2240" s="4"/>
      <c r="K2240" s="4"/>
      <c r="L2240" s="4"/>
      <c r="M2240" s="4"/>
      <c r="N2240" s="4"/>
      <c r="O2240" s="6"/>
    </row>
    <row r="2241" spans="2:15" s="46" customFormat="1">
      <c r="B2241" s="3"/>
      <c r="C2241" s="3"/>
      <c r="G2241" s="4"/>
      <c r="H2241" s="4"/>
      <c r="I2241" s="4"/>
      <c r="J2241" s="4"/>
      <c r="K2241" s="4"/>
      <c r="L2241" s="4"/>
      <c r="M2241" s="4"/>
      <c r="N2241" s="4"/>
      <c r="O2241" s="6"/>
    </row>
    <row r="2242" spans="2:15" s="46" customFormat="1">
      <c r="B2242" s="3"/>
      <c r="C2242" s="3"/>
      <c r="G2242" s="4"/>
      <c r="H2242" s="4"/>
      <c r="I2242" s="4"/>
      <c r="J2242" s="4"/>
      <c r="K2242" s="4"/>
      <c r="L2242" s="4"/>
      <c r="M2242" s="4"/>
      <c r="N2242" s="4"/>
      <c r="O2242" s="6"/>
    </row>
    <row r="2243" spans="2:15" s="46" customFormat="1">
      <c r="B2243" s="3"/>
      <c r="C2243" s="3"/>
      <c r="G2243" s="4"/>
      <c r="H2243" s="4"/>
      <c r="I2243" s="4"/>
      <c r="J2243" s="4"/>
      <c r="K2243" s="4"/>
      <c r="L2243" s="4"/>
      <c r="M2243" s="4"/>
      <c r="N2243" s="4"/>
      <c r="O2243" s="6"/>
    </row>
    <row r="2244" spans="2:15" s="46" customFormat="1">
      <c r="B2244" s="3"/>
      <c r="C2244" s="3"/>
      <c r="G2244" s="4"/>
      <c r="H2244" s="4"/>
      <c r="I2244" s="4"/>
      <c r="J2244" s="4"/>
      <c r="K2244" s="4"/>
      <c r="L2244" s="4"/>
      <c r="M2244" s="4"/>
      <c r="N2244" s="4"/>
      <c r="O2244" s="6"/>
    </row>
    <row r="2245" spans="2:15" s="46" customFormat="1">
      <c r="B2245" s="3"/>
      <c r="C2245" s="3"/>
      <c r="G2245" s="4"/>
      <c r="H2245" s="4"/>
      <c r="I2245" s="4"/>
      <c r="J2245" s="4"/>
      <c r="K2245" s="4"/>
      <c r="L2245" s="4"/>
      <c r="M2245" s="4"/>
      <c r="N2245" s="4"/>
      <c r="O2245" s="6"/>
    </row>
    <row r="2246" spans="2:15" s="46" customFormat="1">
      <c r="B2246" s="3"/>
      <c r="C2246" s="3"/>
      <c r="G2246" s="4"/>
      <c r="H2246" s="4"/>
      <c r="I2246" s="4"/>
      <c r="J2246" s="4"/>
      <c r="K2246" s="4"/>
      <c r="L2246" s="4"/>
      <c r="M2246" s="4"/>
      <c r="N2246" s="4"/>
      <c r="O2246" s="6"/>
    </row>
    <row r="2247" spans="2:15" s="46" customFormat="1">
      <c r="B2247" s="3"/>
      <c r="C2247" s="3"/>
      <c r="G2247" s="4"/>
      <c r="H2247" s="4"/>
      <c r="I2247" s="4"/>
      <c r="J2247" s="4"/>
      <c r="K2247" s="4"/>
      <c r="L2247" s="4"/>
      <c r="M2247" s="4"/>
      <c r="N2247" s="4"/>
      <c r="O2247" s="6"/>
    </row>
    <row r="2248" spans="2:15" s="46" customFormat="1">
      <c r="B2248" s="3"/>
      <c r="C2248" s="3"/>
      <c r="G2248" s="4"/>
      <c r="H2248" s="4"/>
      <c r="I2248" s="4"/>
      <c r="J2248" s="4"/>
      <c r="K2248" s="4"/>
      <c r="L2248" s="4"/>
      <c r="M2248" s="4"/>
      <c r="N2248" s="4"/>
      <c r="O2248" s="6"/>
    </row>
    <row r="2249" spans="2:15" s="46" customFormat="1">
      <c r="B2249" s="3"/>
      <c r="C2249" s="3"/>
      <c r="G2249" s="4"/>
      <c r="H2249" s="4"/>
      <c r="I2249" s="4"/>
      <c r="J2249" s="4"/>
      <c r="K2249" s="4"/>
      <c r="L2249" s="4"/>
      <c r="M2249" s="4"/>
      <c r="N2249" s="4"/>
      <c r="O2249" s="6"/>
    </row>
    <row r="2250" spans="2:15" s="46" customFormat="1">
      <c r="B2250" s="3"/>
      <c r="C2250" s="3"/>
      <c r="G2250" s="4"/>
      <c r="H2250" s="4"/>
      <c r="I2250" s="4"/>
      <c r="J2250" s="4"/>
      <c r="K2250" s="4"/>
      <c r="L2250" s="4"/>
      <c r="M2250" s="4"/>
      <c r="N2250" s="4"/>
      <c r="O2250" s="6"/>
    </row>
    <row r="2251" spans="2:15" s="46" customFormat="1">
      <c r="B2251" s="3"/>
      <c r="C2251" s="3"/>
      <c r="G2251" s="4"/>
      <c r="H2251" s="4"/>
      <c r="I2251" s="4"/>
      <c r="J2251" s="4"/>
      <c r="K2251" s="4"/>
      <c r="L2251" s="4"/>
      <c r="M2251" s="4"/>
      <c r="N2251" s="4"/>
      <c r="O2251" s="6"/>
    </row>
    <row r="2252" spans="2:15" s="46" customFormat="1">
      <c r="B2252" s="3"/>
      <c r="C2252" s="3"/>
      <c r="G2252" s="4"/>
      <c r="H2252" s="4"/>
      <c r="I2252" s="4"/>
      <c r="J2252" s="4"/>
      <c r="K2252" s="4"/>
      <c r="L2252" s="4"/>
      <c r="M2252" s="4"/>
      <c r="N2252" s="4"/>
      <c r="O2252" s="6"/>
    </row>
    <row r="2253" spans="2:15" s="46" customFormat="1">
      <c r="B2253" s="3"/>
      <c r="C2253" s="3"/>
      <c r="G2253" s="4"/>
      <c r="H2253" s="4"/>
      <c r="I2253" s="4"/>
      <c r="J2253" s="4"/>
      <c r="K2253" s="4"/>
      <c r="L2253" s="4"/>
      <c r="M2253" s="4"/>
      <c r="N2253" s="4"/>
      <c r="O2253" s="6"/>
    </row>
    <row r="2254" spans="2:15" s="46" customFormat="1">
      <c r="B2254" s="3"/>
      <c r="C2254" s="3"/>
      <c r="G2254" s="4"/>
      <c r="H2254" s="4"/>
      <c r="I2254" s="4"/>
      <c r="J2254" s="4"/>
      <c r="K2254" s="4"/>
      <c r="L2254" s="4"/>
      <c r="M2254" s="4"/>
      <c r="N2254" s="4"/>
      <c r="O2254" s="6"/>
    </row>
    <row r="2255" spans="2:15" s="46" customFormat="1">
      <c r="B2255" s="3"/>
      <c r="C2255" s="3"/>
      <c r="G2255" s="4"/>
      <c r="H2255" s="4"/>
      <c r="I2255" s="4"/>
      <c r="J2255" s="4"/>
      <c r="K2255" s="4"/>
      <c r="L2255" s="4"/>
      <c r="M2255" s="4"/>
      <c r="N2255" s="4"/>
      <c r="O2255" s="6"/>
    </row>
    <row r="2256" spans="2:15" s="46" customFormat="1">
      <c r="B2256" s="3"/>
      <c r="C2256" s="3"/>
      <c r="G2256" s="4"/>
      <c r="H2256" s="4"/>
      <c r="I2256" s="4"/>
      <c r="J2256" s="4"/>
      <c r="K2256" s="4"/>
      <c r="L2256" s="4"/>
      <c r="M2256" s="4"/>
      <c r="N2256" s="4"/>
      <c r="O2256" s="6"/>
    </row>
    <row r="2257" spans="2:15" s="46" customFormat="1">
      <c r="B2257" s="3"/>
      <c r="C2257" s="3"/>
      <c r="G2257" s="4"/>
      <c r="H2257" s="4"/>
      <c r="I2257" s="4"/>
      <c r="J2257" s="4"/>
      <c r="K2257" s="4"/>
      <c r="L2257" s="4"/>
      <c r="M2257" s="4"/>
      <c r="N2257" s="4"/>
      <c r="O2257" s="6"/>
    </row>
    <row r="2258" spans="2:15" s="46" customFormat="1">
      <c r="B2258" s="3"/>
      <c r="C2258" s="3"/>
      <c r="G2258" s="4"/>
      <c r="H2258" s="4"/>
      <c r="I2258" s="4"/>
      <c r="J2258" s="4"/>
      <c r="K2258" s="4"/>
      <c r="L2258" s="4"/>
      <c r="M2258" s="4"/>
      <c r="N2258" s="4"/>
      <c r="O2258" s="6"/>
    </row>
    <row r="2259" spans="2:15" s="46" customFormat="1">
      <c r="B2259" s="3"/>
      <c r="C2259" s="3"/>
      <c r="G2259" s="4"/>
      <c r="H2259" s="4"/>
      <c r="I2259" s="4"/>
      <c r="J2259" s="4"/>
      <c r="K2259" s="4"/>
      <c r="L2259" s="4"/>
      <c r="M2259" s="4"/>
      <c r="N2259" s="4"/>
      <c r="O2259" s="6"/>
    </row>
    <row r="2260" spans="2:15" s="46" customFormat="1">
      <c r="B2260" s="3"/>
      <c r="C2260" s="3"/>
      <c r="G2260" s="4"/>
      <c r="H2260" s="4"/>
      <c r="I2260" s="4"/>
      <c r="J2260" s="4"/>
      <c r="K2260" s="4"/>
      <c r="L2260" s="4"/>
      <c r="M2260" s="4"/>
      <c r="N2260" s="4"/>
      <c r="O2260" s="6"/>
    </row>
    <row r="2261" spans="2:15" s="46" customFormat="1">
      <c r="B2261" s="3"/>
      <c r="C2261" s="3"/>
      <c r="G2261" s="4"/>
      <c r="H2261" s="4"/>
      <c r="I2261" s="4"/>
      <c r="J2261" s="4"/>
      <c r="K2261" s="4"/>
      <c r="L2261" s="4"/>
      <c r="M2261" s="4"/>
      <c r="N2261" s="4"/>
      <c r="O2261" s="6"/>
    </row>
    <row r="2262" spans="2:15" s="46" customFormat="1">
      <c r="B2262" s="3"/>
      <c r="C2262" s="3"/>
      <c r="G2262" s="4"/>
      <c r="H2262" s="4"/>
      <c r="I2262" s="4"/>
      <c r="J2262" s="4"/>
      <c r="K2262" s="4"/>
      <c r="L2262" s="4"/>
      <c r="M2262" s="4"/>
      <c r="N2262" s="4"/>
      <c r="O2262" s="6"/>
    </row>
    <row r="2263" spans="2:15" s="46" customFormat="1">
      <c r="B2263" s="3"/>
      <c r="C2263" s="3"/>
      <c r="G2263" s="4"/>
      <c r="H2263" s="4"/>
      <c r="I2263" s="4"/>
      <c r="J2263" s="4"/>
      <c r="K2263" s="4"/>
      <c r="L2263" s="4"/>
      <c r="M2263" s="4"/>
      <c r="N2263" s="4"/>
      <c r="O2263" s="6"/>
    </row>
    <row r="2264" spans="2:15" s="46" customFormat="1">
      <c r="B2264" s="3"/>
      <c r="C2264" s="3"/>
      <c r="G2264" s="4"/>
      <c r="H2264" s="4"/>
      <c r="I2264" s="4"/>
      <c r="J2264" s="4"/>
      <c r="K2264" s="4"/>
      <c r="L2264" s="4"/>
      <c r="M2264" s="4"/>
      <c r="N2264" s="4"/>
      <c r="O2264" s="6"/>
    </row>
    <row r="2265" spans="2:15" s="46" customFormat="1">
      <c r="B2265" s="3"/>
      <c r="C2265" s="3"/>
      <c r="G2265" s="4"/>
      <c r="H2265" s="4"/>
      <c r="I2265" s="4"/>
      <c r="J2265" s="4"/>
      <c r="K2265" s="4"/>
      <c r="L2265" s="4"/>
      <c r="M2265" s="4"/>
      <c r="N2265" s="4"/>
      <c r="O2265" s="6"/>
    </row>
    <row r="2266" spans="2:15" s="46" customFormat="1">
      <c r="B2266" s="3"/>
      <c r="C2266" s="3"/>
      <c r="G2266" s="4"/>
      <c r="H2266" s="4"/>
      <c r="I2266" s="4"/>
      <c r="J2266" s="4"/>
      <c r="K2266" s="4"/>
      <c r="L2266" s="4"/>
      <c r="M2266" s="4"/>
      <c r="N2266" s="4"/>
      <c r="O2266" s="6"/>
    </row>
    <row r="2267" spans="2:15" s="46" customFormat="1">
      <c r="B2267" s="3"/>
      <c r="C2267" s="3"/>
      <c r="G2267" s="4"/>
      <c r="H2267" s="4"/>
      <c r="I2267" s="4"/>
      <c r="J2267" s="4"/>
      <c r="K2267" s="4"/>
      <c r="L2267" s="4"/>
      <c r="M2267" s="4"/>
      <c r="N2267" s="4"/>
      <c r="O2267" s="6"/>
    </row>
    <row r="2268" spans="2:15" s="46" customFormat="1">
      <c r="B2268" s="3"/>
      <c r="C2268" s="3"/>
      <c r="G2268" s="4"/>
      <c r="H2268" s="4"/>
      <c r="I2268" s="4"/>
      <c r="J2268" s="4"/>
      <c r="K2268" s="4"/>
      <c r="L2268" s="4"/>
      <c r="M2268" s="4"/>
      <c r="N2268" s="4"/>
      <c r="O2268" s="6"/>
    </row>
    <row r="2269" spans="2:15" s="46" customFormat="1">
      <c r="B2269" s="3"/>
      <c r="C2269" s="3"/>
      <c r="G2269" s="4"/>
      <c r="H2269" s="4"/>
      <c r="I2269" s="4"/>
      <c r="J2269" s="4"/>
      <c r="K2269" s="4"/>
      <c r="L2269" s="4"/>
      <c r="M2269" s="4"/>
      <c r="N2269" s="4"/>
      <c r="O2269" s="6"/>
    </row>
    <row r="2270" spans="2:15" s="46" customFormat="1">
      <c r="B2270" s="3"/>
      <c r="C2270" s="3"/>
      <c r="G2270" s="4"/>
      <c r="H2270" s="4"/>
      <c r="I2270" s="4"/>
      <c r="J2270" s="4"/>
      <c r="K2270" s="4"/>
      <c r="L2270" s="4"/>
      <c r="M2270" s="4"/>
      <c r="N2270" s="4"/>
      <c r="O2270" s="6"/>
    </row>
    <row r="2271" spans="2:15" s="46" customFormat="1">
      <c r="B2271" s="3"/>
      <c r="C2271" s="3"/>
      <c r="G2271" s="4"/>
      <c r="H2271" s="4"/>
      <c r="I2271" s="4"/>
      <c r="J2271" s="4"/>
      <c r="K2271" s="4"/>
      <c r="L2271" s="4"/>
      <c r="M2271" s="4"/>
      <c r="N2271" s="4"/>
      <c r="O2271" s="6"/>
    </row>
    <row r="2272" spans="2:15" s="46" customFormat="1">
      <c r="B2272" s="3"/>
      <c r="C2272" s="3"/>
      <c r="G2272" s="4"/>
      <c r="H2272" s="4"/>
      <c r="I2272" s="4"/>
      <c r="J2272" s="4"/>
      <c r="K2272" s="4"/>
      <c r="L2272" s="4"/>
      <c r="M2272" s="4"/>
      <c r="N2272" s="4"/>
      <c r="O2272" s="6"/>
    </row>
    <row r="2273" spans="2:15" s="46" customFormat="1">
      <c r="B2273" s="3"/>
      <c r="C2273" s="3"/>
      <c r="G2273" s="4"/>
      <c r="H2273" s="4"/>
      <c r="I2273" s="4"/>
      <c r="J2273" s="4"/>
      <c r="K2273" s="4"/>
      <c r="L2273" s="4"/>
      <c r="M2273" s="4"/>
      <c r="N2273" s="4"/>
      <c r="O2273" s="6"/>
    </row>
    <row r="2274" spans="2:15" s="46" customFormat="1">
      <c r="B2274" s="3"/>
      <c r="C2274" s="3"/>
      <c r="G2274" s="4"/>
      <c r="H2274" s="4"/>
      <c r="I2274" s="4"/>
      <c r="J2274" s="4"/>
      <c r="K2274" s="4"/>
      <c r="L2274" s="4"/>
      <c r="M2274" s="4"/>
      <c r="N2274" s="4"/>
      <c r="O2274" s="6"/>
    </row>
    <row r="2275" spans="2:15" s="46" customFormat="1">
      <c r="B2275" s="3"/>
      <c r="C2275" s="3"/>
      <c r="G2275" s="4"/>
      <c r="H2275" s="4"/>
      <c r="I2275" s="4"/>
      <c r="J2275" s="4"/>
      <c r="K2275" s="4"/>
      <c r="L2275" s="4"/>
      <c r="M2275" s="4"/>
      <c r="N2275" s="4"/>
      <c r="O2275" s="6"/>
    </row>
    <row r="2276" spans="2:15" s="46" customFormat="1">
      <c r="B2276" s="3"/>
      <c r="C2276" s="3"/>
      <c r="G2276" s="4"/>
      <c r="H2276" s="4"/>
      <c r="I2276" s="4"/>
      <c r="J2276" s="4"/>
      <c r="K2276" s="4"/>
      <c r="L2276" s="4"/>
      <c r="M2276" s="4"/>
      <c r="N2276" s="4"/>
      <c r="O2276" s="6"/>
    </row>
    <row r="2277" spans="2:15" s="46" customFormat="1">
      <c r="B2277" s="3"/>
      <c r="C2277" s="3"/>
      <c r="G2277" s="4"/>
      <c r="H2277" s="4"/>
      <c r="I2277" s="4"/>
      <c r="J2277" s="4"/>
      <c r="K2277" s="4"/>
      <c r="L2277" s="4"/>
      <c r="M2277" s="4"/>
      <c r="N2277" s="4"/>
      <c r="O2277" s="6"/>
    </row>
    <row r="2278" spans="2:15" s="46" customFormat="1">
      <c r="B2278" s="3"/>
      <c r="C2278" s="3"/>
      <c r="G2278" s="4"/>
      <c r="H2278" s="4"/>
      <c r="I2278" s="4"/>
      <c r="J2278" s="4"/>
      <c r="K2278" s="4"/>
      <c r="L2278" s="4"/>
      <c r="M2278" s="4"/>
      <c r="N2278" s="4"/>
      <c r="O2278" s="6"/>
    </row>
    <row r="2279" spans="2:15" s="46" customFormat="1">
      <c r="B2279" s="3"/>
      <c r="C2279" s="3"/>
      <c r="G2279" s="4"/>
      <c r="H2279" s="4"/>
      <c r="I2279" s="4"/>
      <c r="J2279" s="4"/>
      <c r="K2279" s="4"/>
      <c r="L2279" s="4"/>
      <c r="M2279" s="4"/>
      <c r="N2279" s="4"/>
      <c r="O2279" s="6"/>
    </row>
    <row r="2280" spans="2:15" s="46" customFormat="1">
      <c r="B2280" s="3"/>
      <c r="C2280" s="3"/>
      <c r="G2280" s="4"/>
      <c r="H2280" s="4"/>
      <c r="I2280" s="4"/>
      <c r="J2280" s="4"/>
      <c r="K2280" s="4"/>
      <c r="L2280" s="4"/>
      <c r="M2280" s="4"/>
      <c r="N2280" s="4"/>
      <c r="O2280" s="6"/>
    </row>
    <row r="2281" spans="2:15" s="46" customFormat="1">
      <c r="B2281" s="3"/>
      <c r="C2281" s="3"/>
      <c r="G2281" s="4"/>
      <c r="H2281" s="4"/>
      <c r="I2281" s="4"/>
      <c r="J2281" s="4"/>
      <c r="K2281" s="4"/>
      <c r="L2281" s="4"/>
      <c r="M2281" s="4"/>
      <c r="N2281" s="4"/>
      <c r="O2281" s="6"/>
    </row>
    <row r="2282" spans="2:15" s="46" customFormat="1">
      <c r="B2282" s="3"/>
      <c r="C2282" s="3"/>
      <c r="G2282" s="4"/>
      <c r="H2282" s="4"/>
      <c r="I2282" s="4"/>
      <c r="J2282" s="4"/>
      <c r="K2282" s="4"/>
      <c r="L2282" s="4"/>
      <c r="M2282" s="4"/>
      <c r="N2282" s="4"/>
      <c r="O2282" s="6"/>
    </row>
    <row r="2283" spans="2:15" s="46" customFormat="1">
      <c r="B2283" s="3"/>
      <c r="C2283" s="3"/>
      <c r="G2283" s="4"/>
      <c r="H2283" s="4"/>
      <c r="I2283" s="4"/>
      <c r="J2283" s="4"/>
      <c r="K2283" s="4"/>
      <c r="L2283" s="4"/>
      <c r="M2283" s="4"/>
      <c r="N2283" s="4"/>
      <c r="O2283" s="6"/>
    </row>
    <row r="2284" spans="2:15" s="46" customFormat="1">
      <c r="B2284" s="3"/>
      <c r="C2284" s="3"/>
      <c r="G2284" s="4"/>
      <c r="H2284" s="4"/>
      <c r="I2284" s="4"/>
      <c r="J2284" s="4"/>
      <c r="K2284" s="4"/>
      <c r="L2284" s="4"/>
      <c r="M2284" s="4"/>
      <c r="N2284" s="4"/>
      <c r="O2284" s="6"/>
    </row>
    <row r="2285" spans="2:15" s="46" customFormat="1">
      <c r="B2285" s="3"/>
      <c r="C2285" s="3"/>
      <c r="G2285" s="4"/>
      <c r="H2285" s="4"/>
      <c r="I2285" s="4"/>
      <c r="J2285" s="4"/>
      <c r="K2285" s="4"/>
      <c r="L2285" s="4"/>
      <c r="M2285" s="4"/>
      <c r="N2285" s="4"/>
      <c r="O2285" s="6"/>
    </row>
    <row r="2286" spans="2:15" s="46" customFormat="1">
      <c r="B2286" s="3"/>
      <c r="C2286" s="3"/>
      <c r="G2286" s="4"/>
      <c r="H2286" s="4"/>
      <c r="I2286" s="4"/>
      <c r="J2286" s="4"/>
      <c r="K2286" s="4"/>
      <c r="L2286" s="4"/>
      <c r="M2286" s="4"/>
      <c r="N2286" s="4"/>
      <c r="O2286" s="6"/>
    </row>
    <row r="2287" spans="2:15" s="46" customFormat="1">
      <c r="B2287" s="3"/>
      <c r="C2287" s="3"/>
      <c r="G2287" s="4"/>
      <c r="H2287" s="4"/>
      <c r="I2287" s="4"/>
      <c r="J2287" s="4"/>
      <c r="K2287" s="4"/>
      <c r="L2287" s="4"/>
      <c r="M2287" s="4"/>
      <c r="N2287" s="4"/>
      <c r="O2287" s="6"/>
    </row>
    <row r="2288" spans="2:15" s="46" customFormat="1">
      <c r="B2288" s="3"/>
      <c r="C2288" s="3"/>
      <c r="G2288" s="4"/>
      <c r="H2288" s="4"/>
      <c r="I2288" s="4"/>
      <c r="J2288" s="4"/>
      <c r="K2288" s="4"/>
      <c r="L2288" s="4"/>
      <c r="M2288" s="4"/>
      <c r="N2288" s="4"/>
      <c r="O2288" s="6"/>
    </row>
    <row r="2289" spans="2:15" s="46" customFormat="1">
      <c r="B2289" s="3"/>
      <c r="C2289" s="3"/>
      <c r="G2289" s="4"/>
      <c r="H2289" s="4"/>
      <c r="I2289" s="4"/>
      <c r="J2289" s="4"/>
      <c r="K2289" s="4"/>
      <c r="L2289" s="4"/>
      <c r="M2289" s="4"/>
      <c r="N2289" s="4"/>
      <c r="O2289" s="6"/>
    </row>
    <row r="2290" spans="2:15" s="46" customFormat="1">
      <c r="B2290" s="3"/>
      <c r="C2290" s="3"/>
      <c r="G2290" s="4"/>
      <c r="H2290" s="4"/>
      <c r="I2290" s="4"/>
      <c r="J2290" s="4"/>
      <c r="K2290" s="4"/>
      <c r="L2290" s="4"/>
      <c r="M2290" s="4"/>
      <c r="N2290" s="4"/>
      <c r="O2290" s="6"/>
    </row>
    <row r="2291" spans="2:15" s="46" customFormat="1">
      <c r="B2291" s="3"/>
      <c r="C2291" s="3"/>
      <c r="G2291" s="4"/>
      <c r="H2291" s="4"/>
      <c r="I2291" s="4"/>
      <c r="J2291" s="4"/>
      <c r="K2291" s="4"/>
      <c r="L2291" s="4"/>
      <c r="M2291" s="4"/>
      <c r="N2291" s="4"/>
      <c r="O2291" s="6"/>
    </row>
    <row r="2292" spans="2:15" s="46" customFormat="1">
      <c r="B2292" s="3"/>
      <c r="C2292" s="3"/>
      <c r="G2292" s="4"/>
      <c r="H2292" s="4"/>
      <c r="I2292" s="4"/>
      <c r="J2292" s="4"/>
      <c r="K2292" s="4"/>
      <c r="L2292" s="4"/>
      <c r="M2292" s="4"/>
      <c r="N2292" s="4"/>
      <c r="O2292" s="6"/>
    </row>
    <row r="2293" spans="2:15" s="46" customFormat="1">
      <c r="B2293" s="3"/>
      <c r="C2293" s="3"/>
      <c r="G2293" s="4"/>
      <c r="H2293" s="4"/>
      <c r="I2293" s="4"/>
      <c r="J2293" s="4"/>
      <c r="K2293" s="4"/>
      <c r="L2293" s="4"/>
      <c r="M2293" s="4"/>
      <c r="N2293" s="4"/>
      <c r="O2293" s="6"/>
    </row>
    <row r="2294" spans="2:15" s="46" customFormat="1">
      <c r="B2294" s="3"/>
      <c r="C2294" s="3"/>
      <c r="G2294" s="4"/>
      <c r="H2294" s="4"/>
      <c r="I2294" s="4"/>
      <c r="J2294" s="4"/>
      <c r="K2294" s="4"/>
      <c r="L2294" s="4"/>
      <c r="M2294" s="4"/>
      <c r="N2294" s="4"/>
      <c r="O2294" s="6"/>
    </row>
    <row r="2295" spans="2:15" s="46" customFormat="1">
      <c r="B2295" s="3"/>
      <c r="C2295" s="3"/>
      <c r="G2295" s="4"/>
      <c r="H2295" s="4"/>
      <c r="I2295" s="4"/>
      <c r="J2295" s="4"/>
      <c r="K2295" s="4"/>
      <c r="L2295" s="4"/>
      <c r="M2295" s="4"/>
      <c r="N2295" s="4"/>
      <c r="O2295" s="6"/>
    </row>
    <row r="2296" spans="2:15" s="46" customFormat="1">
      <c r="B2296" s="3"/>
      <c r="C2296" s="3"/>
      <c r="G2296" s="4"/>
      <c r="H2296" s="4"/>
      <c r="I2296" s="4"/>
      <c r="J2296" s="4"/>
      <c r="K2296" s="4"/>
      <c r="L2296" s="4"/>
      <c r="M2296" s="4"/>
      <c r="N2296" s="4"/>
      <c r="O2296" s="6"/>
    </row>
    <row r="2297" spans="2:15" s="46" customFormat="1">
      <c r="B2297" s="3"/>
      <c r="C2297" s="3"/>
      <c r="G2297" s="4"/>
      <c r="H2297" s="4"/>
      <c r="I2297" s="4"/>
      <c r="J2297" s="4"/>
      <c r="K2297" s="4"/>
      <c r="L2297" s="4"/>
      <c r="M2297" s="4"/>
      <c r="N2297" s="4"/>
      <c r="O2297" s="6"/>
    </row>
    <row r="2298" spans="2:15" s="46" customFormat="1">
      <c r="B2298" s="3"/>
      <c r="C2298" s="3"/>
      <c r="G2298" s="4"/>
      <c r="H2298" s="4"/>
      <c r="I2298" s="4"/>
      <c r="J2298" s="4"/>
      <c r="K2298" s="4"/>
      <c r="L2298" s="4"/>
      <c r="M2298" s="4"/>
      <c r="N2298" s="4"/>
      <c r="O2298" s="6"/>
    </row>
    <row r="2299" spans="2:15" s="46" customFormat="1">
      <c r="B2299" s="3"/>
      <c r="C2299" s="3"/>
      <c r="G2299" s="4"/>
      <c r="H2299" s="4"/>
      <c r="I2299" s="4"/>
      <c r="J2299" s="4"/>
      <c r="K2299" s="4"/>
      <c r="L2299" s="4"/>
      <c r="M2299" s="4"/>
      <c r="N2299" s="4"/>
      <c r="O2299" s="6"/>
    </row>
    <row r="2300" spans="2:15" s="46" customFormat="1">
      <c r="B2300" s="3"/>
      <c r="C2300" s="3"/>
      <c r="G2300" s="4"/>
      <c r="H2300" s="4"/>
      <c r="I2300" s="4"/>
      <c r="J2300" s="4"/>
      <c r="K2300" s="4"/>
      <c r="L2300" s="4"/>
      <c r="M2300" s="4"/>
      <c r="N2300" s="4"/>
      <c r="O2300" s="6"/>
    </row>
    <row r="2301" spans="2:15" s="46" customFormat="1">
      <c r="B2301" s="3"/>
      <c r="C2301" s="3"/>
      <c r="G2301" s="4"/>
      <c r="H2301" s="4"/>
      <c r="I2301" s="4"/>
      <c r="J2301" s="4"/>
      <c r="K2301" s="4"/>
      <c r="L2301" s="4"/>
      <c r="M2301" s="4"/>
      <c r="N2301" s="4"/>
      <c r="O2301" s="6"/>
    </row>
    <row r="2302" spans="2:15" s="46" customFormat="1">
      <c r="B2302" s="3"/>
      <c r="C2302" s="3"/>
      <c r="G2302" s="4"/>
      <c r="H2302" s="4"/>
      <c r="I2302" s="4"/>
      <c r="J2302" s="4"/>
      <c r="K2302" s="4"/>
      <c r="L2302" s="4"/>
      <c r="M2302" s="4"/>
      <c r="N2302" s="4"/>
      <c r="O2302" s="6"/>
    </row>
    <row r="2303" spans="2:15" s="46" customFormat="1">
      <c r="B2303" s="3"/>
      <c r="C2303" s="3"/>
      <c r="G2303" s="4"/>
      <c r="H2303" s="4"/>
      <c r="I2303" s="4"/>
      <c r="J2303" s="4"/>
      <c r="K2303" s="4"/>
      <c r="L2303" s="4"/>
      <c r="M2303" s="4"/>
      <c r="N2303" s="4"/>
      <c r="O2303" s="6"/>
    </row>
    <row r="2304" spans="2:15" s="46" customFormat="1">
      <c r="B2304" s="3"/>
      <c r="C2304" s="3"/>
      <c r="G2304" s="4"/>
      <c r="H2304" s="4"/>
      <c r="I2304" s="4"/>
      <c r="J2304" s="4"/>
      <c r="K2304" s="4"/>
      <c r="L2304" s="4"/>
      <c r="M2304" s="4"/>
      <c r="N2304" s="4"/>
      <c r="O2304" s="6"/>
    </row>
    <row r="2305" spans="2:15" s="46" customFormat="1">
      <c r="B2305" s="3"/>
      <c r="C2305" s="3"/>
      <c r="G2305" s="4"/>
      <c r="H2305" s="4"/>
      <c r="I2305" s="4"/>
      <c r="J2305" s="4"/>
      <c r="K2305" s="4"/>
      <c r="L2305" s="4"/>
      <c r="M2305" s="4"/>
      <c r="N2305" s="4"/>
      <c r="O2305" s="6"/>
    </row>
    <row r="2306" spans="2:15" s="46" customFormat="1">
      <c r="B2306" s="3"/>
      <c r="C2306" s="3"/>
      <c r="G2306" s="4"/>
      <c r="H2306" s="4"/>
      <c r="I2306" s="4"/>
      <c r="J2306" s="4"/>
      <c r="K2306" s="4"/>
      <c r="L2306" s="4"/>
      <c r="M2306" s="4"/>
      <c r="N2306" s="4"/>
      <c r="O2306" s="6"/>
    </row>
    <row r="2307" spans="2:15" s="46" customFormat="1">
      <c r="B2307" s="3"/>
      <c r="C2307" s="3"/>
      <c r="G2307" s="4"/>
      <c r="H2307" s="4"/>
      <c r="I2307" s="4"/>
      <c r="J2307" s="4"/>
      <c r="K2307" s="4"/>
      <c r="L2307" s="4"/>
      <c r="M2307" s="4"/>
      <c r="N2307" s="4"/>
      <c r="O2307" s="6"/>
    </row>
    <row r="2308" spans="2:15" s="46" customFormat="1">
      <c r="B2308" s="3"/>
      <c r="C2308" s="3"/>
      <c r="G2308" s="4"/>
      <c r="H2308" s="4"/>
      <c r="I2308" s="4"/>
      <c r="J2308" s="4"/>
      <c r="K2308" s="4"/>
      <c r="L2308" s="4"/>
      <c r="M2308" s="4"/>
      <c r="N2308" s="4"/>
      <c r="O2308" s="6"/>
    </row>
    <row r="2309" spans="2:15" s="46" customFormat="1">
      <c r="B2309" s="3"/>
      <c r="C2309" s="3"/>
      <c r="G2309" s="4"/>
      <c r="H2309" s="4"/>
      <c r="I2309" s="4"/>
      <c r="J2309" s="4"/>
      <c r="K2309" s="4"/>
      <c r="L2309" s="4"/>
      <c r="M2309" s="4"/>
      <c r="N2309" s="4"/>
      <c r="O2309" s="6"/>
    </row>
    <row r="2310" spans="2:15" s="46" customFormat="1">
      <c r="B2310" s="3"/>
      <c r="C2310" s="3"/>
      <c r="G2310" s="4"/>
      <c r="H2310" s="4"/>
      <c r="I2310" s="4"/>
      <c r="J2310" s="4"/>
      <c r="K2310" s="4"/>
      <c r="L2310" s="4"/>
      <c r="M2310" s="4"/>
      <c r="N2310" s="4"/>
      <c r="O2310" s="6"/>
    </row>
    <row r="2311" spans="2:15" s="46" customFormat="1">
      <c r="B2311" s="3"/>
      <c r="C2311" s="3"/>
      <c r="G2311" s="4"/>
      <c r="H2311" s="4"/>
      <c r="I2311" s="4"/>
      <c r="J2311" s="4"/>
      <c r="K2311" s="4"/>
      <c r="L2311" s="4"/>
      <c r="M2311" s="4"/>
      <c r="N2311" s="4"/>
      <c r="O2311" s="6"/>
    </row>
    <row r="2312" spans="2:15" s="46" customFormat="1">
      <c r="B2312" s="3"/>
      <c r="C2312" s="3"/>
      <c r="G2312" s="4"/>
      <c r="H2312" s="4"/>
      <c r="I2312" s="4"/>
      <c r="J2312" s="4"/>
      <c r="K2312" s="4"/>
      <c r="L2312" s="4"/>
      <c r="M2312" s="4"/>
      <c r="N2312" s="4"/>
      <c r="O2312" s="6"/>
    </row>
    <row r="2313" spans="2:15" s="46" customFormat="1">
      <c r="B2313" s="3"/>
      <c r="C2313" s="3"/>
      <c r="G2313" s="4"/>
      <c r="H2313" s="4"/>
      <c r="I2313" s="4"/>
      <c r="J2313" s="4"/>
      <c r="K2313" s="4"/>
      <c r="L2313" s="4"/>
      <c r="M2313" s="4"/>
      <c r="N2313" s="4"/>
      <c r="O2313" s="6"/>
    </row>
    <row r="2314" spans="2:15" s="46" customFormat="1">
      <c r="B2314" s="3"/>
      <c r="C2314" s="3"/>
      <c r="G2314" s="4"/>
      <c r="H2314" s="4"/>
      <c r="I2314" s="4"/>
      <c r="J2314" s="4"/>
      <c r="K2314" s="4"/>
      <c r="L2314" s="4"/>
      <c r="M2314" s="4"/>
      <c r="N2314" s="4"/>
      <c r="O2314" s="6"/>
    </row>
    <row r="2315" spans="2:15" s="46" customFormat="1">
      <c r="B2315" s="3"/>
      <c r="C2315" s="3"/>
      <c r="G2315" s="4"/>
      <c r="H2315" s="4"/>
      <c r="I2315" s="4"/>
      <c r="J2315" s="4"/>
      <c r="K2315" s="4"/>
      <c r="L2315" s="4"/>
      <c r="M2315" s="4"/>
      <c r="N2315" s="4"/>
      <c r="O2315" s="6"/>
    </row>
    <row r="2316" spans="2:15" s="46" customFormat="1">
      <c r="B2316" s="3"/>
      <c r="C2316" s="3"/>
      <c r="G2316" s="4"/>
      <c r="H2316" s="4"/>
      <c r="I2316" s="4"/>
      <c r="J2316" s="4"/>
      <c r="K2316" s="4"/>
      <c r="L2316" s="4"/>
      <c r="M2316" s="4"/>
      <c r="N2316" s="4"/>
      <c r="O2316" s="6"/>
    </row>
    <row r="2317" spans="2:15" s="46" customFormat="1">
      <c r="B2317" s="3"/>
      <c r="C2317" s="3"/>
      <c r="G2317" s="4"/>
      <c r="H2317" s="4"/>
      <c r="I2317" s="4"/>
      <c r="J2317" s="4"/>
      <c r="K2317" s="4"/>
      <c r="L2317" s="4"/>
      <c r="M2317" s="4"/>
      <c r="N2317" s="4"/>
      <c r="O2317" s="6"/>
    </row>
    <row r="2318" spans="2:15" s="46" customFormat="1">
      <c r="B2318" s="3"/>
      <c r="C2318" s="3"/>
      <c r="G2318" s="4"/>
      <c r="H2318" s="4"/>
      <c r="I2318" s="4"/>
      <c r="J2318" s="4"/>
      <c r="K2318" s="4"/>
      <c r="L2318" s="4"/>
      <c r="M2318" s="4"/>
      <c r="N2318" s="4"/>
      <c r="O2318" s="6"/>
    </row>
    <row r="2319" spans="2:15" s="46" customFormat="1">
      <c r="B2319" s="3"/>
      <c r="C2319" s="3"/>
      <c r="G2319" s="4"/>
      <c r="H2319" s="4"/>
      <c r="I2319" s="4"/>
      <c r="J2319" s="4"/>
      <c r="K2319" s="4"/>
      <c r="L2319" s="4"/>
      <c r="M2319" s="4"/>
      <c r="N2319" s="4"/>
      <c r="O2319" s="6"/>
    </row>
    <row r="2320" spans="2:15" s="46" customFormat="1">
      <c r="B2320" s="3"/>
      <c r="C2320" s="3"/>
      <c r="G2320" s="4"/>
      <c r="H2320" s="4"/>
      <c r="I2320" s="4"/>
      <c r="J2320" s="4"/>
      <c r="K2320" s="4"/>
      <c r="L2320" s="4"/>
      <c r="M2320" s="4"/>
      <c r="N2320" s="4"/>
      <c r="O2320" s="6"/>
    </row>
    <row r="2321" spans="2:15" s="46" customFormat="1">
      <c r="B2321" s="3"/>
      <c r="C2321" s="3"/>
      <c r="G2321" s="4"/>
      <c r="H2321" s="4"/>
      <c r="I2321" s="4"/>
      <c r="J2321" s="4"/>
      <c r="K2321" s="4"/>
      <c r="L2321" s="4"/>
      <c r="M2321" s="4"/>
      <c r="N2321" s="4"/>
      <c r="O2321" s="6"/>
    </row>
    <row r="2322" spans="2:15" s="46" customFormat="1">
      <c r="B2322" s="3"/>
      <c r="C2322" s="3"/>
      <c r="G2322" s="4"/>
      <c r="H2322" s="4"/>
      <c r="I2322" s="4"/>
      <c r="J2322" s="4"/>
      <c r="K2322" s="4"/>
      <c r="L2322" s="4"/>
      <c r="M2322" s="4"/>
      <c r="N2322" s="4"/>
      <c r="O2322" s="6"/>
    </row>
    <row r="2323" spans="2:15" s="46" customFormat="1">
      <c r="B2323" s="3"/>
      <c r="C2323" s="3"/>
      <c r="G2323" s="4"/>
      <c r="H2323" s="4"/>
      <c r="I2323" s="4"/>
      <c r="J2323" s="4"/>
      <c r="K2323" s="4"/>
      <c r="L2323" s="4"/>
      <c r="M2323" s="4"/>
      <c r="N2323" s="4"/>
      <c r="O2323" s="6"/>
    </row>
    <row r="2324" spans="2:15" s="46" customFormat="1">
      <c r="B2324" s="3"/>
      <c r="C2324" s="3"/>
      <c r="G2324" s="4"/>
      <c r="H2324" s="4"/>
      <c r="I2324" s="4"/>
      <c r="J2324" s="4"/>
      <c r="K2324" s="4"/>
      <c r="L2324" s="4"/>
      <c r="M2324" s="4"/>
      <c r="N2324" s="4"/>
      <c r="O2324" s="6"/>
    </row>
    <row r="2325" spans="2:15" s="46" customFormat="1">
      <c r="B2325" s="3"/>
      <c r="C2325" s="3"/>
      <c r="G2325" s="4"/>
      <c r="H2325" s="4"/>
      <c r="I2325" s="4"/>
      <c r="J2325" s="4"/>
      <c r="K2325" s="4"/>
      <c r="L2325" s="4"/>
      <c r="M2325" s="4"/>
      <c r="N2325" s="4"/>
      <c r="O2325" s="6"/>
    </row>
    <row r="2326" spans="2:15" s="46" customFormat="1">
      <c r="B2326" s="3"/>
      <c r="C2326" s="3"/>
      <c r="G2326" s="4"/>
      <c r="H2326" s="4"/>
      <c r="I2326" s="4"/>
      <c r="J2326" s="4"/>
      <c r="K2326" s="4"/>
      <c r="L2326" s="4"/>
      <c r="M2326" s="4"/>
      <c r="N2326" s="4"/>
      <c r="O2326" s="6"/>
    </row>
    <row r="2327" spans="2:15" s="46" customFormat="1">
      <c r="B2327" s="3"/>
      <c r="C2327" s="3"/>
      <c r="G2327" s="4"/>
      <c r="H2327" s="4"/>
      <c r="I2327" s="4"/>
      <c r="J2327" s="4"/>
      <c r="K2327" s="4"/>
      <c r="L2327" s="4"/>
      <c r="M2327" s="4"/>
      <c r="N2327" s="4"/>
      <c r="O2327" s="6"/>
    </row>
    <row r="2328" spans="2:15" s="46" customFormat="1">
      <c r="B2328" s="3"/>
      <c r="C2328" s="3"/>
      <c r="G2328" s="4"/>
      <c r="H2328" s="4"/>
      <c r="I2328" s="4"/>
      <c r="J2328" s="4"/>
      <c r="K2328" s="4"/>
      <c r="L2328" s="4"/>
      <c r="M2328" s="4"/>
      <c r="N2328" s="4"/>
      <c r="O2328" s="6"/>
    </row>
    <row r="2329" spans="2:15" s="46" customFormat="1">
      <c r="B2329" s="3"/>
      <c r="C2329" s="3"/>
      <c r="G2329" s="4"/>
      <c r="H2329" s="4"/>
      <c r="I2329" s="4"/>
      <c r="J2329" s="4"/>
      <c r="K2329" s="4"/>
      <c r="L2329" s="4"/>
      <c r="M2329" s="4"/>
      <c r="N2329" s="4"/>
      <c r="O2329" s="6"/>
    </row>
    <row r="2330" spans="2:15" s="46" customFormat="1">
      <c r="B2330" s="3"/>
      <c r="C2330" s="3"/>
      <c r="G2330" s="4"/>
      <c r="H2330" s="4"/>
      <c r="I2330" s="4"/>
      <c r="J2330" s="4"/>
      <c r="K2330" s="4"/>
      <c r="L2330" s="4"/>
      <c r="M2330" s="4"/>
      <c r="N2330" s="4"/>
      <c r="O2330" s="6"/>
    </row>
    <row r="2331" spans="2:15" s="46" customFormat="1">
      <c r="B2331" s="3"/>
      <c r="C2331" s="3"/>
      <c r="G2331" s="4"/>
      <c r="H2331" s="4"/>
      <c r="I2331" s="4"/>
      <c r="J2331" s="4"/>
      <c r="K2331" s="4"/>
      <c r="L2331" s="4"/>
      <c r="M2331" s="4"/>
      <c r="N2331" s="4"/>
      <c r="O2331" s="6"/>
    </row>
    <row r="2332" spans="2:15" s="46" customFormat="1">
      <c r="B2332" s="3"/>
      <c r="C2332" s="3"/>
      <c r="G2332" s="4"/>
      <c r="H2332" s="4"/>
      <c r="I2332" s="4"/>
      <c r="J2332" s="4"/>
      <c r="K2332" s="4"/>
      <c r="L2332" s="4"/>
      <c r="M2332" s="4"/>
      <c r="N2332" s="4"/>
      <c r="O2332" s="6"/>
    </row>
    <row r="2333" spans="2:15" s="46" customFormat="1">
      <c r="B2333" s="3"/>
      <c r="C2333" s="3"/>
      <c r="G2333" s="4"/>
      <c r="H2333" s="4"/>
      <c r="I2333" s="4"/>
      <c r="J2333" s="4"/>
      <c r="K2333" s="4"/>
      <c r="L2333" s="4"/>
      <c r="M2333" s="4"/>
      <c r="N2333" s="4"/>
      <c r="O2333" s="6"/>
    </row>
    <row r="2334" spans="2:15" s="46" customFormat="1">
      <c r="B2334" s="3"/>
      <c r="C2334" s="3"/>
      <c r="G2334" s="4"/>
      <c r="H2334" s="4"/>
      <c r="I2334" s="4"/>
      <c r="J2334" s="4"/>
      <c r="K2334" s="4"/>
      <c r="L2334" s="4"/>
      <c r="M2334" s="4"/>
      <c r="N2334" s="4"/>
      <c r="O2334" s="6"/>
    </row>
    <row r="2335" spans="2:15" s="46" customFormat="1">
      <c r="B2335" s="3"/>
      <c r="C2335" s="3"/>
      <c r="G2335" s="4"/>
      <c r="H2335" s="4"/>
      <c r="I2335" s="4"/>
      <c r="J2335" s="4"/>
      <c r="K2335" s="4"/>
      <c r="L2335" s="4"/>
      <c r="M2335" s="4"/>
      <c r="N2335" s="4"/>
      <c r="O2335" s="6"/>
    </row>
    <row r="2336" spans="2:15" s="46" customFormat="1">
      <c r="B2336" s="3"/>
      <c r="C2336" s="3"/>
      <c r="G2336" s="4"/>
      <c r="H2336" s="4"/>
      <c r="I2336" s="4"/>
      <c r="J2336" s="4"/>
      <c r="K2336" s="4"/>
      <c r="L2336" s="4"/>
      <c r="M2336" s="4"/>
      <c r="N2336" s="4"/>
      <c r="O2336" s="6"/>
    </row>
    <row r="2337" spans="2:15" s="46" customFormat="1">
      <c r="B2337" s="3"/>
      <c r="C2337" s="3"/>
      <c r="G2337" s="4"/>
      <c r="H2337" s="4"/>
      <c r="I2337" s="4"/>
      <c r="J2337" s="4"/>
      <c r="K2337" s="4"/>
      <c r="L2337" s="4"/>
      <c r="M2337" s="4"/>
      <c r="N2337" s="4"/>
      <c r="O2337" s="6"/>
    </row>
    <row r="2338" spans="2:15" s="46" customFormat="1">
      <c r="B2338" s="3"/>
      <c r="C2338" s="3"/>
      <c r="G2338" s="4"/>
      <c r="H2338" s="4"/>
      <c r="I2338" s="4"/>
      <c r="J2338" s="4"/>
      <c r="K2338" s="4"/>
      <c r="L2338" s="4"/>
      <c r="M2338" s="4"/>
      <c r="N2338" s="4"/>
      <c r="O2338" s="6"/>
    </row>
    <row r="2339" spans="2:15" s="46" customFormat="1">
      <c r="B2339" s="3"/>
      <c r="C2339" s="3"/>
      <c r="G2339" s="4"/>
      <c r="H2339" s="4"/>
      <c r="I2339" s="4"/>
      <c r="J2339" s="4"/>
      <c r="K2339" s="4"/>
      <c r="L2339" s="4"/>
      <c r="M2339" s="4"/>
      <c r="N2339" s="4"/>
      <c r="O2339" s="6"/>
    </row>
    <row r="2340" spans="2:15" s="46" customFormat="1">
      <c r="B2340" s="3"/>
      <c r="C2340" s="3"/>
      <c r="G2340" s="4"/>
      <c r="H2340" s="4"/>
      <c r="I2340" s="4"/>
      <c r="J2340" s="4"/>
      <c r="K2340" s="4"/>
      <c r="L2340" s="4"/>
      <c r="M2340" s="4"/>
      <c r="N2340" s="4"/>
      <c r="O2340" s="6"/>
    </row>
    <row r="2341" spans="2:15" s="46" customFormat="1">
      <c r="B2341" s="3"/>
      <c r="C2341" s="3"/>
      <c r="G2341" s="4"/>
      <c r="H2341" s="4"/>
      <c r="I2341" s="4"/>
      <c r="J2341" s="4"/>
      <c r="K2341" s="4"/>
      <c r="L2341" s="4"/>
      <c r="M2341" s="4"/>
      <c r="N2341" s="4"/>
      <c r="O2341" s="6"/>
    </row>
    <row r="2342" spans="2:15" s="46" customFormat="1">
      <c r="B2342" s="3"/>
      <c r="C2342" s="3"/>
      <c r="G2342" s="4"/>
      <c r="H2342" s="4"/>
      <c r="I2342" s="4"/>
      <c r="J2342" s="4"/>
      <c r="K2342" s="4"/>
      <c r="L2342" s="4"/>
      <c r="M2342" s="4"/>
      <c r="N2342" s="4"/>
      <c r="O2342" s="6"/>
    </row>
    <row r="2343" spans="2:15" s="46" customFormat="1">
      <c r="B2343" s="3"/>
      <c r="C2343" s="3"/>
      <c r="G2343" s="4"/>
      <c r="H2343" s="4"/>
      <c r="I2343" s="4"/>
      <c r="J2343" s="4"/>
      <c r="K2343" s="4"/>
      <c r="L2343" s="4"/>
      <c r="M2343" s="4"/>
      <c r="N2343" s="4"/>
      <c r="O2343" s="6"/>
    </row>
    <row r="2344" spans="2:15" s="46" customFormat="1">
      <c r="B2344" s="3"/>
      <c r="C2344" s="3"/>
      <c r="G2344" s="4"/>
      <c r="H2344" s="4"/>
      <c r="I2344" s="4"/>
      <c r="J2344" s="4"/>
      <c r="K2344" s="4"/>
      <c r="L2344" s="4"/>
      <c r="M2344" s="4"/>
      <c r="N2344" s="4"/>
      <c r="O2344" s="6"/>
    </row>
    <row r="2345" spans="2:15" s="46" customFormat="1">
      <c r="B2345" s="3"/>
      <c r="C2345" s="3"/>
      <c r="G2345" s="4"/>
      <c r="H2345" s="4"/>
      <c r="I2345" s="4"/>
      <c r="J2345" s="4"/>
      <c r="K2345" s="4"/>
      <c r="L2345" s="4"/>
      <c r="M2345" s="4"/>
      <c r="N2345" s="4"/>
      <c r="O2345" s="6"/>
    </row>
    <row r="2346" spans="2:15" s="46" customFormat="1">
      <c r="B2346" s="3"/>
      <c r="C2346" s="3"/>
      <c r="G2346" s="4"/>
      <c r="H2346" s="4"/>
      <c r="I2346" s="4"/>
      <c r="J2346" s="4"/>
      <c r="K2346" s="4"/>
      <c r="L2346" s="4"/>
      <c r="M2346" s="4"/>
      <c r="N2346" s="4"/>
      <c r="O2346" s="6"/>
    </row>
    <row r="2347" spans="2:15" s="46" customFormat="1">
      <c r="B2347" s="3"/>
      <c r="C2347" s="3"/>
      <c r="G2347" s="4"/>
      <c r="H2347" s="4"/>
      <c r="I2347" s="4"/>
      <c r="J2347" s="4"/>
      <c r="K2347" s="4"/>
      <c r="L2347" s="4"/>
      <c r="M2347" s="4"/>
      <c r="N2347" s="4"/>
      <c r="O2347" s="6"/>
    </row>
    <row r="2348" spans="2:15" s="46" customFormat="1">
      <c r="B2348" s="3"/>
      <c r="C2348" s="3"/>
      <c r="G2348" s="4"/>
      <c r="H2348" s="4"/>
      <c r="I2348" s="4"/>
      <c r="J2348" s="4"/>
      <c r="K2348" s="4"/>
      <c r="L2348" s="4"/>
      <c r="M2348" s="4"/>
      <c r="N2348" s="4"/>
      <c r="O2348" s="6"/>
    </row>
    <row r="2349" spans="2:15" s="46" customFormat="1">
      <c r="B2349" s="3"/>
      <c r="C2349" s="3"/>
      <c r="G2349" s="4"/>
      <c r="H2349" s="4"/>
      <c r="I2349" s="4"/>
      <c r="J2349" s="4"/>
      <c r="K2349" s="4"/>
      <c r="L2349" s="4"/>
      <c r="M2349" s="4"/>
      <c r="N2349" s="4"/>
      <c r="O2349" s="6"/>
    </row>
    <row r="2350" spans="2:15" s="46" customFormat="1">
      <c r="B2350" s="3"/>
      <c r="C2350" s="3"/>
      <c r="G2350" s="4"/>
      <c r="H2350" s="4"/>
      <c r="I2350" s="4"/>
      <c r="J2350" s="4"/>
      <c r="K2350" s="4"/>
      <c r="L2350" s="4"/>
      <c r="M2350" s="4"/>
      <c r="N2350" s="4"/>
      <c r="O2350" s="6"/>
    </row>
    <row r="2351" spans="2:15" s="46" customFormat="1">
      <c r="B2351" s="3"/>
      <c r="C2351" s="3"/>
      <c r="G2351" s="4"/>
      <c r="H2351" s="4"/>
      <c r="I2351" s="4"/>
      <c r="J2351" s="4"/>
      <c r="K2351" s="4"/>
      <c r="L2351" s="4"/>
      <c r="M2351" s="4"/>
      <c r="N2351" s="4"/>
      <c r="O2351" s="6"/>
    </row>
    <row r="2352" spans="2:15" s="46" customFormat="1">
      <c r="B2352" s="3"/>
      <c r="C2352" s="3"/>
      <c r="G2352" s="4"/>
      <c r="H2352" s="4"/>
      <c r="I2352" s="4"/>
      <c r="J2352" s="4"/>
      <c r="K2352" s="4"/>
      <c r="L2352" s="4"/>
      <c r="M2352" s="4"/>
      <c r="N2352" s="4"/>
      <c r="O2352" s="6"/>
    </row>
    <row r="2353" spans="2:15" s="46" customFormat="1">
      <c r="B2353" s="3"/>
      <c r="C2353" s="3"/>
      <c r="G2353" s="4"/>
      <c r="H2353" s="4"/>
      <c r="I2353" s="4"/>
      <c r="J2353" s="4"/>
      <c r="K2353" s="4"/>
      <c r="L2353" s="4"/>
      <c r="M2353" s="4"/>
      <c r="N2353" s="4"/>
      <c r="O2353" s="6"/>
    </row>
    <row r="2354" spans="2:15" s="46" customFormat="1">
      <c r="B2354" s="3"/>
      <c r="C2354" s="3"/>
      <c r="G2354" s="4"/>
      <c r="H2354" s="4"/>
      <c r="I2354" s="4"/>
      <c r="J2354" s="4"/>
      <c r="K2354" s="4"/>
      <c r="L2354" s="4"/>
      <c r="M2354" s="4"/>
      <c r="N2354" s="4"/>
      <c r="O2354" s="6"/>
    </row>
    <row r="2355" spans="2:15" s="46" customFormat="1">
      <c r="B2355" s="3"/>
      <c r="C2355" s="3"/>
      <c r="G2355" s="4"/>
      <c r="H2355" s="4"/>
      <c r="I2355" s="4"/>
      <c r="J2355" s="4"/>
      <c r="K2355" s="4"/>
      <c r="L2355" s="4"/>
      <c r="M2355" s="4"/>
      <c r="N2355" s="4"/>
      <c r="O2355" s="6"/>
    </row>
    <row r="2356" spans="2:15" s="46" customFormat="1">
      <c r="B2356" s="3"/>
      <c r="C2356" s="3"/>
      <c r="G2356" s="4"/>
      <c r="H2356" s="4"/>
      <c r="I2356" s="4"/>
      <c r="J2356" s="4"/>
      <c r="K2356" s="4"/>
      <c r="L2356" s="4"/>
      <c r="M2356" s="4"/>
      <c r="N2356" s="4"/>
      <c r="O2356" s="6"/>
    </row>
    <row r="2357" spans="2:15" s="46" customFormat="1">
      <c r="B2357" s="3"/>
      <c r="C2357" s="3"/>
      <c r="G2357" s="4"/>
      <c r="H2357" s="4"/>
      <c r="I2357" s="4"/>
      <c r="J2357" s="4"/>
      <c r="K2357" s="4"/>
      <c r="L2357" s="4"/>
      <c r="M2357" s="4"/>
      <c r="N2357" s="4"/>
      <c r="O2357" s="6"/>
    </row>
    <row r="2358" spans="2:15" s="46" customFormat="1">
      <c r="B2358" s="3"/>
      <c r="C2358" s="3"/>
      <c r="G2358" s="4"/>
      <c r="H2358" s="4"/>
      <c r="I2358" s="4"/>
      <c r="J2358" s="4"/>
      <c r="K2358" s="4"/>
      <c r="L2358" s="4"/>
      <c r="M2358" s="4"/>
      <c r="N2358" s="4"/>
      <c r="O2358" s="6"/>
    </row>
    <row r="2359" spans="2:15" s="46" customFormat="1">
      <c r="B2359" s="3"/>
      <c r="C2359" s="3"/>
      <c r="G2359" s="4"/>
      <c r="H2359" s="4"/>
      <c r="I2359" s="4"/>
      <c r="J2359" s="4"/>
      <c r="K2359" s="4"/>
      <c r="L2359" s="4"/>
      <c r="M2359" s="4"/>
      <c r="N2359" s="4"/>
      <c r="O2359" s="6"/>
    </row>
    <row r="2360" spans="2:15" s="46" customFormat="1">
      <c r="B2360" s="3"/>
      <c r="C2360" s="3"/>
      <c r="G2360" s="4"/>
      <c r="H2360" s="4"/>
      <c r="I2360" s="4"/>
      <c r="J2360" s="4"/>
      <c r="K2360" s="4"/>
      <c r="L2360" s="4"/>
      <c r="M2360" s="4"/>
      <c r="N2360" s="4"/>
      <c r="O2360" s="6"/>
    </row>
    <row r="2361" spans="2:15" s="46" customFormat="1">
      <c r="B2361" s="3"/>
      <c r="C2361" s="3"/>
      <c r="G2361" s="4"/>
      <c r="H2361" s="4"/>
      <c r="I2361" s="4"/>
      <c r="J2361" s="4"/>
      <c r="K2361" s="4"/>
      <c r="L2361" s="4"/>
      <c r="M2361" s="4"/>
      <c r="N2361" s="4"/>
      <c r="O2361" s="6"/>
    </row>
    <row r="2362" spans="2:15" s="46" customFormat="1">
      <c r="B2362" s="3"/>
      <c r="C2362" s="3"/>
      <c r="G2362" s="4"/>
      <c r="H2362" s="4"/>
      <c r="I2362" s="4"/>
      <c r="J2362" s="4"/>
      <c r="K2362" s="4"/>
      <c r="L2362" s="4"/>
      <c r="M2362" s="4"/>
      <c r="N2362" s="4"/>
      <c r="O2362" s="6"/>
    </row>
    <row r="2363" spans="2:15" s="46" customFormat="1">
      <c r="B2363" s="3"/>
      <c r="C2363" s="3"/>
      <c r="G2363" s="4"/>
      <c r="H2363" s="4"/>
      <c r="I2363" s="4"/>
      <c r="J2363" s="4"/>
      <c r="K2363" s="4"/>
      <c r="L2363" s="4"/>
      <c r="M2363" s="4"/>
      <c r="N2363" s="4"/>
      <c r="O2363" s="6"/>
    </row>
    <row r="2364" spans="2:15" s="46" customFormat="1">
      <c r="B2364" s="3"/>
      <c r="C2364" s="3"/>
      <c r="G2364" s="4"/>
      <c r="H2364" s="4"/>
      <c r="I2364" s="4"/>
      <c r="J2364" s="4"/>
      <c r="K2364" s="4"/>
      <c r="L2364" s="4"/>
      <c r="M2364" s="4"/>
      <c r="N2364" s="4"/>
      <c r="O2364" s="6"/>
    </row>
    <row r="2365" spans="2:15" s="46" customFormat="1">
      <c r="B2365" s="3"/>
      <c r="C2365" s="3"/>
      <c r="G2365" s="4"/>
      <c r="H2365" s="4"/>
      <c r="I2365" s="4"/>
      <c r="J2365" s="4"/>
      <c r="K2365" s="4"/>
      <c r="L2365" s="4"/>
      <c r="M2365" s="4"/>
      <c r="N2365" s="4"/>
      <c r="O2365" s="6"/>
    </row>
    <row r="2366" spans="2:15" s="46" customFormat="1">
      <c r="B2366" s="3"/>
      <c r="C2366" s="3"/>
      <c r="G2366" s="4"/>
      <c r="H2366" s="4"/>
      <c r="I2366" s="4"/>
      <c r="J2366" s="4"/>
      <c r="K2366" s="4"/>
      <c r="L2366" s="4"/>
      <c r="M2366" s="4"/>
      <c r="N2366" s="4"/>
      <c r="O2366" s="6"/>
    </row>
    <row r="2367" spans="2:15" s="46" customFormat="1">
      <c r="B2367" s="3"/>
      <c r="C2367" s="3"/>
      <c r="G2367" s="4"/>
      <c r="H2367" s="4"/>
      <c r="I2367" s="4"/>
      <c r="J2367" s="4"/>
      <c r="K2367" s="4"/>
      <c r="L2367" s="4"/>
      <c r="M2367" s="4"/>
      <c r="N2367" s="4"/>
      <c r="O2367" s="6"/>
    </row>
    <row r="2368" spans="2:15" s="46" customFormat="1">
      <c r="B2368" s="3"/>
      <c r="C2368" s="3"/>
      <c r="G2368" s="4"/>
      <c r="H2368" s="4"/>
      <c r="I2368" s="4"/>
      <c r="J2368" s="4"/>
      <c r="K2368" s="4"/>
      <c r="L2368" s="4"/>
      <c r="M2368" s="4"/>
      <c r="N2368" s="4"/>
      <c r="O2368" s="6"/>
    </row>
    <row r="2369" spans="2:15" s="46" customFormat="1">
      <c r="B2369" s="3"/>
      <c r="C2369" s="3"/>
      <c r="G2369" s="4"/>
      <c r="H2369" s="4"/>
      <c r="I2369" s="4"/>
      <c r="J2369" s="4"/>
      <c r="K2369" s="4"/>
      <c r="L2369" s="4"/>
      <c r="M2369" s="4"/>
      <c r="N2369" s="4"/>
      <c r="O2369" s="6"/>
    </row>
    <row r="2370" spans="2:15" s="46" customFormat="1">
      <c r="B2370" s="3"/>
      <c r="C2370" s="3"/>
      <c r="G2370" s="4"/>
      <c r="H2370" s="4"/>
      <c r="I2370" s="4"/>
      <c r="J2370" s="4"/>
      <c r="K2370" s="4"/>
      <c r="L2370" s="4"/>
      <c r="M2370" s="4"/>
      <c r="N2370" s="4"/>
      <c r="O2370" s="6"/>
    </row>
    <row r="2371" spans="2:15" s="46" customFormat="1">
      <c r="B2371" s="3"/>
      <c r="C2371" s="3"/>
      <c r="G2371" s="4"/>
      <c r="H2371" s="4"/>
      <c r="I2371" s="4"/>
      <c r="J2371" s="4"/>
      <c r="K2371" s="4"/>
      <c r="L2371" s="4"/>
      <c r="M2371" s="4"/>
      <c r="N2371" s="4"/>
      <c r="O2371" s="6"/>
    </row>
    <row r="2372" spans="2:15" s="46" customFormat="1">
      <c r="B2372" s="3"/>
      <c r="C2372" s="3"/>
      <c r="G2372" s="4"/>
      <c r="H2372" s="4"/>
      <c r="I2372" s="4"/>
      <c r="J2372" s="4"/>
      <c r="K2372" s="4"/>
      <c r="L2372" s="4"/>
      <c r="M2372" s="4"/>
      <c r="N2372" s="4"/>
      <c r="O2372" s="6"/>
    </row>
    <row r="2373" spans="2:15" s="46" customFormat="1">
      <c r="B2373" s="3"/>
      <c r="C2373" s="3"/>
      <c r="G2373" s="4"/>
      <c r="H2373" s="4"/>
      <c r="I2373" s="4"/>
      <c r="J2373" s="4"/>
      <c r="K2373" s="4"/>
      <c r="L2373" s="4"/>
      <c r="M2373" s="4"/>
      <c r="N2373" s="4"/>
      <c r="O2373" s="6"/>
    </row>
    <row r="2374" spans="2:15" s="46" customFormat="1">
      <c r="B2374" s="3"/>
      <c r="C2374" s="3"/>
      <c r="G2374" s="4"/>
      <c r="H2374" s="4"/>
      <c r="I2374" s="4"/>
      <c r="J2374" s="4"/>
      <c r="K2374" s="4"/>
      <c r="L2374" s="4"/>
      <c r="M2374" s="4"/>
      <c r="N2374" s="4"/>
      <c r="O2374" s="6"/>
    </row>
    <row r="2375" spans="2:15" s="46" customFormat="1">
      <c r="B2375" s="3"/>
      <c r="C2375" s="3"/>
      <c r="G2375" s="4"/>
      <c r="H2375" s="4"/>
      <c r="I2375" s="4"/>
      <c r="J2375" s="4"/>
      <c r="K2375" s="4"/>
      <c r="L2375" s="4"/>
      <c r="M2375" s="4"/>
      <c r="N2375" s="4"/>
      <c r="O2375" s="6"/>
    </row>
    <row r="2376" spans="2:15" s="46" customFormat="1">
      <c r="B2376" s="3"/>
      <c r="C2376" s="3"/>
      <c r="G2376" s="4"/>
      <c r="H2376" s="4"/>
      <c r="I2376" s="4"/>
      <c r="J2376" s="4"/>
      <c r="K2376" s="4"/>
      <c r="L2376" s="4"/>
      <c r="M2376" s="4"/>
      <c r="N2376" s="4"/>
      <c r="O2376" s="6"/>
    </row>
    <row r="2377" spans="2:15" s="46" customFormat="1">
      <c r="B2377" s="3"/>
      <c r="C2377" s="3"/>
      <c r="G2377" s="4"/>
      <c r="H2377" s="4"/>
      <c r="I2377" s="4"/>
      <c r="J2377" s="4"/>
      <c r="K2377" s="4"/>
      <c r="L2377" s="4"/>
      <c r="M2377" s="4"/>
      <c r="N2377" s="4"/>
      <c r="O2377" s="6"/>
    </row>
    <row r="2378" spans="2:15" s="46" customFormat="1">
      <c r="B2378" s="3"/>
      <c r="C2378" s="3"/>
      <c r="G2378" s="4"/>
      <c r="H2378" s="4"/>
      <c r="I2378" s="4"/>
      <c r="J2378" s="4"/>
      <c r="K2378" s="4"/>
      <c r="L2378" s="4"/>
      <c r="M2378" s="4"/>
      <c r="N2378" s="4"/>
      <c r="O2378" s="6"/>
    </row>
    <row r="2379" spans="2:15" s="46" customFormat="1">
      <c r="B2379" s="3"/>
      <c r="C2379" s="3"/>
      <c r="G2379" s="4"/>
      <c r="H2379" s="4"/>
      <c r="I2379" s="4"/>
      <c r="J2379" s="4"/>
      <c r="K2379" s="4"/>
      <c r="L2379" s="4"/>
      <c r="M2379" s="4"/>
      <c r="N2379" s="4"/>
      <c r="O2379" s="6"/>
    </row>
    <row r="2380" spans="2:15" s="46" customFormat="1">
      <c r="B2380" s="3"/>
      <c r="C2380" s="3"/>
      <c r="G2380" s="4"/>
      <c r="H2380" s="4"/>
      <c r="I2380" s="4"/>
      <c r="J2380" s="4"/>
      <c r="K2380" s="4"/>
      <c r="L2380" s="4"/>
      <c r="M2380" s="4"/>
      <c r="N2380" s="4"/>
      <c r="O2380" s="6"/>
    </row>
    <row r="2381" spans="2:15" s="46" customFormat="1">
      <c r="B2381" s="3"/>
      <c r="C2381" s="3"/>
      <c r="G2381" s="4"/>
      <c r="H2381" s="4"/>
      <c r="I2381" s="4"/>
      <c r="J2381" s="4"/>
      <c r="K2381" s="4"/>
      <c r="L2381" s="4"/>
      <c r="M2381" s="4"/>
      <c r="N2381" s="4"/>
      <c r="O2381" s="6"/>
    </row>
    <row r="2382" spans="2:15" s="46" customFormat="1">
      <c r="B2382" s="3"/>
      <c r="C2382" s="3"/>
      <c r="G2382" s="4"/>
      <c r="H2382" s="4"/>
      <c r="I2382" s="4"/>
      <c r="J2382" s="4"/>
      <c r="K2382" s="4"/>
      <c r="L2382" s="4"/>
      <c r="M2382" s="4"/>
      <c r="N2382" s="4"/>
      <c r="O2382" s="6"/>
    </row>
    <row r="2383" spans="2:15" s="46" customFormat="1">
      <c r="B2383" s="3"/>
      <c r="C2383" s="3"/>
      <c r="G2383" s="4"/>
      <c r="H2383" s="4"/>
      <c r="I2383" s="4"/>
      <c r="J2383" s="4"/>
      <c r="K2383" s="4"/>
      <c r="L2383" s="4"/>
      <c r="M2383" s="4"/>
      <c r="N2383" s="4"/>
      <c r="O2383" s="6"/>
    </row>
    <row r="2384" spans="2:15" s="46" customFormat="1">
      <c r="B2384" s="3"/>
      <c r="C2384" s="3"/>
      <c r="G2384" s="4"/>
      <c r="H2384" s="4"/>
      <c r="I2384" s="4"/>
      <c r="J2384" s="4"/>
      <c r="K2384" s="4"/>
      <c r="L2384" s="4"/>
      <c r="M2384" s="4"/>
      <c r="N2384" s="4"/>
      <c r="O2384" s="6"/>
    </row>
    <row r="2385" spans="2:15" s="46" customFormat="1">
      <c r="B2385" s="3"/>
      <c r="C2385" s="3"/>
      <c r="G2385" s="4"/>
      <c r="H2385" s="4"/>
      <c r="I2385" s="4"/>
      <c r="J2385" s="4"/>
      <c r="K2385" s="4"/>
      <c r="L2385" s="4"/>
      <c r="M2385" s="4"/>
      <c r="N2385" s="4"/>
      <c r="O2385" s="6"/>
    </row>
    <row r="2386" spans="2:15" s="46" customFormat="1">
      <c r="B2386" s="3"/>
      <c r="C2386" s="3"/>
      <c r="G2386" s="4"/>
      <c r="H2386" s="4"/>
      <c r="I2386" s="4"/>
      <c r="J2386" s="4"/>
      <c r="K2386" s="4"/>
      <c r="L2386" s="4"/>
      <c r="M2386" s="4"/>
      <c r="N2386" s="4"/>
      <c r="O2386" s="6"/>
    </row>
    <row r="2387" spans="2:15" s="46" customFormat="1">
      <c r="B2387" s="3"/>
      <c r="C2387" s="3"/>
      <c r="G2387" s="4"/>
      <c r="H2387" s="4"/>
      <c r="I2387" s="4"/>
      <c r="J2387" s="4"/>
      <c r="K2387" s="4"/>
      <c r="L2387" s="4"/>
      <c r="M2387" s="4"/>
      <c r="N2387" s="4"/>
      <c r="O2387" s="6"/>
    </row>
    <row r="2388" spans="2:15" s="46" customFormat="1">
      <c r="B2388" s="3"/>
      <c r="C2388" s="3"/>
      <c r="G2388" s="4"/>
      <c r="H2388" s="4"/>
      <c r="I2388" s="4"/>
      <c r="J2388" s="4"/>
      <c r="K2388" s="4"/>
      <c r="L2388" s="4"/>
      <c r="M2388" s="4"/>
      <c r="N2388" s="4"/>
      <c r="O2388" s="6"/>
    </row>
    <row r="2389" spans="2:15" s="46" customFormat="1">
      <c r="B2389" s="3"/>
      <c r="C2389" s="3"/>
      <c r="G2389" s="4"/>
      <c r="H2389" s="4"/>
      <c r="I2389" s="4"/>
      <c r="J2389" s="4"/>
      <c r="K2389" s="4"/>
      <c r="L2389" s="4"/>
      <c r="M2389" s="4"/>
      <c r="N2389" s="4"/>
      <c r="O2389" s="6"/>
    </row>
    <row r="2390" spans="2:15" s="46" customFormat="1">
      <c r="B2390" s="3"/>
      <c r="C2390" s="3"/>
      <c r="G2390" s="4"/>
      <c r="H2390" s="4"/>
      <c r="I2390" s="4"/>
      <c r="J2390" s="4"/>
      <c r="K2390" s="4"/>
      <c r="L2390" s="4"/>
      <c r="M2390" s="4"/>
      <c r="N2390" s="4"/>
      <c r="O2390" s="6"/>
    </row>
    <row r="2391" spans="2:15" s="46" customFormat="1">
      <c r="B2391" s="3"/>
      <c r="C2391" s="3"/>
      <c r="G2391" s="4"/>
      <c r="H2391" s="4"/>
      <c r="I2391" s="4"/>
      <c r="J2391" s="4"/>
      <c r="K2391" s="4"/>
      <c r="L2391" s="4"/>
      <c r="M2391" s="4"/>
      <c r="N2391" s="4"/>
      <c r="O2391" s="6"/>
    </row>
    <row r="2392" spans="2:15" s="46" customFormat="1">
      <c r="B2392" s="3"/>
      <c r="C2392" s="3"/>
      <c r="G2392" s="4"/>
      <c r="H2392" s="4"/>
      <c r="I2392" s="4"/>
      <c r="J2392" s="4"/>
      <c r="K2392" s="4"/>
      <c r="L2392" s="4"/>
      <c r="M2392" s="4"/>
      <c r="N2392" s="4"/>
      <c r="O2392" s="6"/>
    </row>
    <row r="2393" spans="2:15" s="46" customFormat="1">
      <c r="B2393" s="3"/>
      <c r="C2393" s="3"/>
      <c r="G2393" s="4"/>
      <c r="H2393" s="4"/>
      <c r="I2393" s="4"/>
      <c r="J2393" s="4"/>
      <c r="K2393" s="4"/>
      <c r="L2393" s="4"/>
      <c r="M2393" s="4"/>
      <c r="N2393" s="4"/>
      <c r="O2393" s="6"/>
    </row>
    <row r="2394" spans="2:15" s="46" customFormat="1">
      <c r="B2394" s="3"/>
      <c r="C2394" s="3"/>
      <c r="G2394" s="4"/>
      <c r="H2394" s="4"/>
      <c r="I2394" s="4"/>
      <c r="J2394" s="4"/>
      <c r="K2394" s="4"/>
      <c r="L2394" s="4"/>
      <c r="M2394" s="4"/>
      <c r="N2394" s="4"/>
      <c r="O2394" s="6"/>
    </row>
    <row r="2395" spans="2:15" s="46" customFormat="1">
      <c r="B2395" s="3"/>
      <c r="C2395" s="3"/>
      <c r="G2395" s="4"/>
      <c r="H2395" s="4"/>
      <c r="I2395" s="4"/>
      <c r="J2395" s="4"/>
      <c r="K2395" s="4"/>
      <c r="L2395" s="4"/>
      <c r="M2395" s="4"/>
      <c r="N2395" s="4"/>
      <c r="O2395" s="6"/>
    </row>
    <row r="2396" spans="2:15" s="46" customFormat="1">
      <c r="B2396" s="3"/>
      <c r="C2396" s="3"/>
      <c r="G2396" s="4"/>
      <c r="H2396" s="4"/>
      <c r="I2396" s="4"/>
      <c r="J2396" s="4"/>
      <c r="K2396" s="4"/>
      <c r="L2396" s="4"/>
      <c r="M2396" s="4"/>
      <c r="N2396" s="4"/>
      <c r="O2396" s="6"/>
    </row>
    <row r="2397" spans="2:15" s="46" customFormat="1">
      <c r="B2397" s="3"/>
      <c r="C2397" s="3"/>
      <c r="G2397" s="4"/>
      <c r="H2397" s="4"/>
      <c r="I2397" s="4"/>
      <c r="J2397" s="4"/>
      <c r="K2397" s="4"/>
      <c r="L2397" s="4"/>
      <c r="M2397" s="4"/>
      <c r="N2397" s="4"/>
      <c r="O2397" s="6"/>
    </row>
    <row r="2398" spans="2:15" s="46" customFormat="1">
      <c r="B2398" s="3"/>
      <c r="C2398" s="3"/>
      <c r="G2398" s="4"/>
      <c r="H2398" s="4"/>
      <c r="I2398" s="4"/>
      <c r="J2398" s="4"/>
      <c r="K2398" s="4"/>
      <c r="L2398" s="4"/>
      <c r="M2398" s="4"/>
      <c r="N2398" s="4"/>
      <c r="O2398" s="6"/>
    </row>
    <row r="2399" spans="2:15" s="46" customFormat="1">
      <c r="B2399" s="3"/>
      <c r="C2399" s="3"/>
      <c r="G2399" s="4"/>
      <c r="H2399" s="4"/>
      <c r="I2399" s="4"/>
      <c r="J2399" s="4"/>
      <c r="K2399" s="4"/>
      <c r="L2399" s="4"/>
      <c r="M2399" s="4"/>
      <c r="N2399" s="4"/>
      <c r="O2399" s="6"/>
    </row>
    <row r="2400" spans="2:15" s="46" customFormat="1">
      <c r="B2400" s="3"/>
      <c r="C2400" s="3"/>
      <c r="G2400" s="4"/>
      <c r="H2400" s="4"/>
      <c r="I2400" s="4"/>
      <c r="J2400" s="4"/>
      <c r="K2400" s="4"/>
      <c r="L2400" s="4"/>
      <c r="M2400" s="4"/>
      <c r="N2400" s="4"/>
      <c r="O2400" s="6"/>
    </row>
    <row r="2401" spans="2:15" s="46" customFormat="1">
      <c r="B2401" s="3"/>
      <c r="C2401" s="3"/>
      <c r="G2401" s="4"/>
      <c r="H2401" s="4"/>
      <c r="I2401" s="4"/>
      <c r="J2401" s="4"/>
      <c r="K2401" s="4"/>
      <c r="L2401" s="4"/>
      <c r="M2401" s="4"/>
      <c r="N2401" s="4"/>
      <c r="O2401" s="6"/>
    </row>
    <row r="2402" spans="2:15" s="46" customFormat="1">
      <c r="B2402" s="3"/>
      <c r="C2402" s="3"/>
      <c r="G2402" s="4"/>
      <c r="H2402" s="4"/>
      <c r="I2402" s="4"/>
      <c r="J2402" s="4"/>
      <c r="K2402" s="4"/>
      <c r="L2402" s="4"/>
      <c r="M2402" s="4"/>
      <c r="N2402" s="4"/>
      <c r="O2402" s="6"/>
    </row>
    <row r="2403" spans="2:15" s="46" customFormat="1">
      <c r="B2403" s="3"/>
      <c r="C2403" s="3"/>
      <c r="G2403" s="4"/>
      <c r="H2403" s="4"/>
      <c r="I2403" s="4"/>
      <c r="J2403" s="4"/>
      <c r="K2403" s="4"/>
      <c r="L2403" s="4"/>
      <c r="M2403" s="4"/>
      <c r="N2403" s="4"/>
      <c r="O2403" s="6"/>
    </row>
    <row r="2404" spans="2:15" s="46" customFormat="1">
      <c r="B2404" s="3"/>
      <c r="C2404" s="3"/>
      <c r="G2404" s="4"/>
      <c r="H2404" s="4"/>
      <c r="I2404" s="4"/>
      <c r="J2404" s="4"/>
      <c r="K2404" s="4"/>
      <c r="L2404" s="4"/>
      <c r="M2404" s="4"/>
      <c r="N2404" s="4"/>
      <c r="O2404" s="6"/>
    </row>
    <row r="2405" spans="2:15" s="46" customFormat="1">
      <c r="B2405" s="3"/>
      <c r="C2405" s="3"/>
      <c r="G2405" s="4"/>
      <c r="H2405" s="4"/>
      <c r="I2405" s="4"/>
      <c r="J2405" s="4"/>
      <c r="K2405" s="4"/>
      <c r="L2405" s="4"/>
      <c r="M2405" s="4"/>
      <c r="N2405" s="4"/>
      <c r="O2405" s="6"/>
    </row>
    <row r="2406" spans="2:15" s="46" customFormat="1">
      <c r="B2406" s="3"/>
      <c r="C2406" s="3"/>
      <c r="G2406" s="4"/>
      <c r="H2406" s="4"/>
      <c r="I2406" s="4"/>
      <c r="J2406" s="4"/>
      <c r="K2406" s="4"/>
      <c r="L2406" s="4"/>
      <c r="M2406" s="4"/>
      <c r="N2406" s="4"/>
      <c r="O2406" s="6"/>
    </row>
    <row r="2407" spans="2:15" s="46" customFormat="1">
      <c r="B2407" s="3"/>
      <c r="C2407" s="3"/>
      <c r="G2407" s="4"/>
      <c r="H2407" s="4"/>
      <c r="I2407" s="4"/>
      <c r="J2407" s="4"/>
      <c r="K2407" s="4"/>
      <c r="L2407" s="4"/>
      <c r="M2407" s="4"/>
      <c r="N2407" s="4"/>
      <c r="O2407" s="6"/>
    </row>
    <row r="2408" spans="2:15" s="46" customFormat="1">
      <c r="B2408" s="3"/>
      <c r="C2408" s="3"/>
      <c r="G2408" s="4"/>
      <c r="H2408" s="4"/>
      <c r="I2408" s="4"/>
      <c r="J2408" s="4"/>
      <c r="K2408" s="4"/>
      <c r="L2408" s="4"/>
      <c r="M2408" s="4"/>
      <c r="N2408" s="4"/>
      <c r="O2408" s="6"/>
    </row>
    <row r="2409" spans="2:15" s="46" customFormat="1">
      <c r="B2409" s="3"/>
      <c r="C2409" s="3"/>
      <c r="G2409" s="4"/>
      <c r="H2409" s="4"/>
      <c r="I2409" s="4"/>
      <c r="J2409" s="4"/>
      <c r="K2409" s="4"/>
      <c r="L2409" s="4"/>
      <c r="M2409" s="4"/>
      <c r="N2409" s="4"/>
      <c r="O2409" s="6"/>
    </row>
    <row r="2410" spans="2:15" s="46" customFormat="1">
      <c r="B2410" s="3"/>
      <c r="C2410" s="3"/>
      <c r="G2410" s="4"/>
      <c r="H2410" s="4"/>
      <c r="I2410" s="4"/>
      <c r="J2410" s="4"/>
      <c r="K2410" s="4"/>
      <c r="L2410" s="4"/>
      <c r="M2410" s="4"/>
      <c r="N2410" s="4"/>
      <c r="O2410" s="6"/>
    </row>
    <row r="2411" spans="2:15" s="46" customFormat="1">
      <c r="B2411" s="3"/>
      <c r="C2411" s="3"/>
      <c r="G2411" s="4"/>
      <c r="H2411" s="4"/>
      <c r="I2411" s="4"/>
      <c r="J2411" s="4"/>
      <c r="K2411" s="4"/>
      <c r="L2411" s="4"/>
      <c r="M2411" s="4"/>
      <c r="N2411" s="4"/>
      <c r="O2411" s="6"/>
    </row>
    <row r="2412" spans="2:15" s="46" customFormat="1">
      <c r="B2412" s="3"/>
      <c r="C2412" s="3"/>
      <c r="G2412" s="4"/>
      <c r="H2412" s="4"/>
      <c r="I2412" s="4"/>
      <c r="J2412" s="4"/>
      <c r="K2412" s="4"/>
      <c r="L2412" s="4"/>
      <c r="M2412" s="4"/>
      <c r="N2412" s="4"/>
      <c r="O2412" s="6"/>
    </row>
    <row r="2413" spans="2:15" s="46" customFormat="1">
      <c r="B2413" s="3"/>
      <c r="C2413" s="3"/>
      <c r="G2413" s="4"/>
      <c r="H2413" s="4"/>
      <c r="I2413" s="4"/>
      <c r="J2413" s="4"/>
      <c r="K2413" s="4"/>
      <c r="L2413" s="4"/>
      <c r="M2413" s="4"/>
      <c r="N2413" s="4"/>
      <c r="O2413" s="6"/>
    </row>
    <row r="2414" spans="2:15" s="46" customFormat="1">
      <c r="B2414" s="3"/>
      <c r="C2414" s="3"/>
      <c r="G2414" s="4"/>
      <c r="H2414" s="4"/>
      <c r="I2414" s="4"/>
      <c r="J2414" s="4"/>
      <c r="K2414" s="4"/>
      <c r="L2414" s="4"/>
      <c r="M2414" s="4"/>
      <c r="N2414" s="4"/>
      <c r="O2414" s="6"/>
    </row>
    <row r="2415" spans="2:15" s="46" customFormat="1">
      <c r="B2415" s="3"/>
      <c r="C2415" s="3"/>
      <c r="G2415" s="4"/>
      <c r="H2415" s="4"/>
      <c r="I2415" s="4"/>
      <c r="J2415" s="4"/>
      <c r="K2415" s="4"/>
      <c r="L2415" s="4"/>
      <c r="M2415" s="4"/>
      <c r="N2415" s="4"/>
      <c r="O2415" s="6"/>
    </row>
    <row r="2416" spans="2:15" s="46" customFormat="1">
      <c r="B2416" s="3"/>
      <c r="C2416" s="3"/>
      <c r="G2416" s="4"/>
      <c r="H2416" s="4"/>
      <c r="I2416" s="4"/>
      <c r="J2416" s="4"/>
      <c r="K2416" s="4"/>
      <c r="L2416" s="4"/>
      <c r="M2416" s="4"/>
      <c r="N2416" s="4"/>
      <c r="O2416" s="6"/>
    </row>
    <row r="2417" spans="2:15" s="46" customFormat="1">
      <c r="B2417" s="3"/>
      <c r="C2417" s="3"/>
      <c r="G2417" s="4"/>
      <c r="H2417" s="4"/>
      <c r="I2417" s="4"/>
      <c r="J2417" s="4"/>
      <c r="K2417" s="4"/>
      <c r="L2417" s="4"/>
      <c r="M2417" s="4"/>
      <c r="N2417" s="4"/>
      <c r="O2417" s="6"/>
    </row>
    <row r="2418" spans="2:15" s="46" customFormat="1">
      <c r="B2418" s="3"/>
      <c r="C2418" s="3"/>
      <c r="G2418" s="4"/>
      <c r="H2418" s="4"/>
      <c r="I2418" s="4"/>
      <c r="J2418" s="4"/>
      <c r="K2418" s="4"/>
      <c r="L2418" s="4"/>
      <c r="M2418" s="4"/>
      <c r="N2418" s="4"/>
      <c r="O2418" s="6"/>
    </row>
    <row r="2419" spans="2:15" s="46" customFormat="1">
      <c r="B2419" s="3"/>
      <c r="C2419" s="3"/>
      <c r="G2419" s="4"/>
      <c r="H2419" s="4"/>
      <c r="I2419" s="4"/>
      <c r="J2419" s="4"/>
      <c r="K2419" s="4"/>
      <c r="L2419" s="4"/>
      <c r="M2419" s="4"/>
      <c r="N2419" s="4"/>
      <c r="O2419" s="6"/>
    </row>
    <row r="2420" spans="2:15" s="46" customFormat="1">
      <c r="B2420" s="3"/>
      <c r="C2420" s="3"/>
      <c r="G2420" s="4"/>
      <c r="H2420" s="4"/>
      <c r="I2420" s="4"/>
      <c r="J2420" s="4"/>
      <c r="K2420" s="4"/>
      <c r="L2420" s="4"/>
      <c r="M2420" s="4"/>
      <c r="N2420" s="4"/>
      <c r="O2420" s="6"/>
    </row>
    <row r="2421" spans="2:15" s="46" customFormat="1">
      <c r="B2421" s="3"/>
      <c r="C2421" s="3"/>
      <c r="G2421" s="4"/>
      <c r="H2421" s="4"/>
      <c r="I2421" s="4"/>
      <c r="J2421" s="4"/>
      <c r="K2421" s="4"/>
      <c r="L2421" s="4"/>
      <c r="M2421" s="4"/>
      <c r="N2421" s="4"/>
      <c r="O2421" s="6"/>
    </row>
    <row r="2422" spans="2:15" s="46" customFormat="1">
      <c r="B2422" s="3"/>
      <c r="C2422" s="3"/>
      <c r="G2422" s="4"/>
      <c r="H2422" s="4"/>
      <c r="I2422" s="4"/>
      <c r="J2422" s="4"/>
      <c r="K2422" s="4"/>
      <c r="L2422" s="4"/>
      <c r="M2422" s="4"/>
      <c r="N2422" s="4"/>
      <c r="O2422" s="6"/>
    </row>
    <row r="2423" spans="2:15" s="46" customFormat="1">
      <c r="B2423" s="3"/>
      <c r="C2423" s="3"/>
      <c r="G2423" s="4"/>
      <c r="H2423" s="4"/>
      <c r="I2423" s="4"/>
      <c r="J2423" s="4"/>
      <c r="K2423" s="4"/>
      <c r="L2423" s="4"/>
      <c r="M2423" s="4"/>
      <c r="N2423" s="4"/>
      <c r="O2423" s="6"/>
    </row>
    <row r="2424" spans="2:15" s="46" customFormat="1">
      <c r="B2424" s="3"/>
      <c r="C2424" s="3"/>
      <c r="G2424" s="4"/>
      <c r="H2424" s="4"/>
      <c r="I2424" s="4"/>
      <c r="J2424" s="4"/>
      <c r="K2424" s="4"/>
      <c r="L2424" s="4"/>
      <c r="M2424" s="4"/>
      <c r="N2424" s="4"/>
      <c r="O2424" s="6"/>
    </row>
    <row r="2425" spans="2:15" s="46" customFormat="1">
      <c r="B2425" s="3"/>
      <c r="C2425" s="3"/>
      <c r="G2425" s="4"/>
      <c r="H2425" s="4"/>
      <c r="I2425" s="4"/>
      <c r="J2425" s="4"/>
      <c r="K2425" s="4"/>
      <c r="L2425" s="4"/>
      <c r="M2425" s="4"/>
      <c r="N2425" s="4"/>
      <c r="O2425" s="6"/>
    </row>
    <row r="2426" spans="2:15" s="46" customFormat="1">
      <c r="B2426" s="3"/>
      <c r="C2426" s="3"/>
      <c r="G2426" s="4"/>
      <c r="H2426" s="4"/>
      <c r="I2426" s="4"/>
      <c r="J2426" s="4"/>
      <c r="K2426" s="4"/>
      <c r="L2426" s="4"/>
      <c r="M2426" s="4"/>
      <c r="N2426" s="4"/>
      <c r="O2426" s="6"/>
    </row>
    <row r="2427" spans="2:15" s="46" customFormat="1">
      <c r="B2427" s="3"/>
      <c r="C2427" s="3"/>
      <c r="G2427" s="4"/>
      <c r="H2427" s="4"/>
      <c r="I2427" s="4"/>
      <c r="J2427" s="4"/>
      <c r="K2427" s="4"/>
      <c r="L2427" s="4"/>
      <c r="M2427" s="4"/>
      <c r="N2427" s="4"/>
      <c r="O2427" s="6"/>
    </row>
    <row r="2428" spans="2:15" s="46" customFormat="1">
      <c r="B2428" s="3"/>
      <c r="C2428" s="3"/>
      <c r="G2428" s="4"/>
      <c r="H2428" s="4"/>
      <c r="I2428" s="4"/>
      <c r="J2428" s="4"/>
      <c r="K2428" s="4"/>
      <c r="L2428" s="4"/>
      <c r="M2428" s="4"/>
      <c r="N2428" s="4"/>
      <c r="O2428" s="6"/>
    </row>
    <row r="2429" spans="2:15" s="46" customFormat="1">
      <c r="B2429" s="3"/>
      <c r="C2429" s="3"/>
      <c r="G2429" s="4"/>
      <c r="H2429" s="4"/>
      <c r="I2429" s="4"/>
      <c r="J2429" s="4"/>
      <c r="K2429" s="4"/>
      <c r="L2429" s="4"/>
      <c r="M2429" s="4"/>
      <c r="N2429" s="4"/>
      <c r="O2429" s="6"/>
    </row>
    <row r="2430" spans="2:15" s="46" customFormat="1">
      <c r="B2430" s="3"/>
      <c r="C2430" s="3"/>
      <c r="G2430" s="4"/>
      <c r="H2430" s="4"/>
      <c r="I2430" s="4"/>
      <c r="J2430" s="4"/>
      <c r="K2430" s="4"/>
      <c r="L2430" s="4"/>
      <c r="M2430" s="4"/>
      <c r="N2430" s="4"/>
      <c r="O2430" s="6"/>
    </row>
    <row r="2431" spans="2:15" s="46" customFormat="1">
      <c r="B2431" s="3"/>
      <c r="C2431" s="3"/>
      <c r="G2431" s="4"/>
      <c r="H2431" s="4"/>
      <c r="I2431" s="4"/>
      <c r="J2431" s="4"/>
      <c r="K2431" s="4"/>
      <c r="L2431" s="4"/>
      <c r="M2431" s="4"/>
      <c r="N2431" s="4"/>
      <c r="O2431" s="6"/>
    </row>
    <row r="2432" spans="2:15" s="46" customFormat="1">
      <c r="B2432" s="3"/>
      <c r="C2432" s="3"/>
      <c r="G2432" s="4"/>
      <c r="H2432" s="4"/>
      <c r="I2432" s="4"/>
      <c r="J2432" s="4"/>
      <c r="K2432" s="4"/>
      <c r="L2432" s="4"/>
      <c r="M2432" s="4"/>
      <c r="N2432" s="4"/>
      <c r="O2432" s="6"/>
    </row>
    <row r="2433" spans="2:15" s="46" customFormat="1">
      <c r="B2433" s="3"/>
      <c r="C2433" s="3"/>
      <c r="G2433" s="4"/>
      <c r="H2433" s="4"/>
      <c r="I2433" s="4"/>
      <c r="J2433" s="4"/>
      <c r="K2433" s="4"/>
      <c r="L2433" s="4"/>
      <c r="M2433" s="4"/>
      <c r="N2433" s="4"/>
      <c r="O2433" s="6"/>
    </row>
    <row r="2434" spans="2:15" s="46" customFormat="1">
      <c r="B2434" s="3"/>
      <c r="C2434" s="3"/>
      <c r="G2434" s="4"/>
      <c r="H2434" s="4"/>
      <c r="I2434" s="4"/>
      <c r="J2434" s="4"/>
      <c r="K2434" s="4"/>
      <c r="L2434" s="4"/>
      <c r="M2434" s="4"/>
      <c r="N2434" s="4"/>
      <c r="O2434" s="6"/>
    </row>
    <row r="2435" spans="2:15" s="46" customFormat="1">
      <c r="B2435" s="3"/>
      <c r="C2435" s="3"/>
      <c r="G2435" s="4"/>
      <c r="H2435" s="4"/>
      <c r="I2435" s="4"/>
      <c r="J2435" s="4"/>
      <c r="K2435" s="4"/>
      <c r="L2435" s="4"/>
      <c r="M2435" s="4"/>
      <c r="N2435" s="4"/>
      <c r="O2435" s="6"/>
    </row>
    <row r="2436" spans="2:15" s="46" customFormat="1">
      <c r="B2436" s="3"/>
      <c r="C2436" s="3"/>
      <c r="G2436" s="4"/>
      <c r="H2436" s="4"/>
      <c r="I2436" s="4"/>
      <c r="J2436" s="4"/>
      <c r="K2436" s="4"/>
      <c r="L2436" s="4"/>
      <c r="M2436" s="4"/>
      <c r="N2436" s="4"/>
      <c r="O2436" s="6"/>
    </row>
    <row r="2437" spans="2:15" s="46" customFormat="1">
      <c r="B2437" s="3"/>
      <c r="C2437" s="3"/>
      <c r="G2437" s="4"/>
      <c r="H2437" s="4"/>
      <c r="I2437" s="4"/>
      <c r="J2437" s="4"/>
      <c r="K2437" s="4"/>
      <c r="L2437" s="4"/>
      <c r="M2437" s="4"/>
      <c r="N2437" s="4"/>
      <c r="O2437" s="6"/>
    </row>
    <row r="2438" spans="2:15" s="46" customFormat="1">
      <c r="B2438" s="3"/>
      <c r="C2438" s="3"/>
      <c r="G2438" s="4"/>
      <c r="H2438" s="4"/>
      <c r="I2438" s="4"/>
      <c r="J2438" s="4"/>
      <c r="K2438" s="4"/>
      <c r="L2438" s="4"/>
      <c r="M2438" s="4"/>
      <c r="N2438" s="4"/>
      <c r="O2438" s="6"/>
    </row>
    <row r="2439" spans="2:15" s="46" customFormat="1">
      <c r="B2439" s="3"/>
      <c r="C2439" s="3"/>
      <c r="G2439" s="4"/>
      <c r="H2439" s="4"/>
      <c r="I2439" s="4"/>
      <c r="J2439" s="4"/>
      <c r="K2439" s="4"/>
      <c r="L2439" s="4"/>
      <c r="M2439" s="4"/>
      <c r="N2439" s="4"/>
      <c r="O2439" s="6"/>
    </row>
    <row r="2440" spans="2:15" s="46" customFormat="1">
      <c r="B2440" s="3"/>
      <c r="C2440" s="3"/>
      <c r="G2440" s="4"/>
      <c r="H2440" s="4"/>
      <c r="I2440" s="4"/>
      <c r="J2440" s="4"/>
      <c r="K2440" s="4"/>
      <c r="L2440" s="4"/>
      <c r="M2440" s="4"/>
      <c r="N2440" s="4"/>
      <c r="O2440" s="6"/>
    </row>
    <row r="2441" spans="2:15" s="46" customFormat="1">
      <c r="B2441" s="3"/>
      <c r="C2441" s="3"/>
      <c r="G2441" s="4"/>
      <c r="H2441" s="4"/>
      <c r="I2441" s="4"/>
      <c r="J2441" s="4"/>
      <c r="K2441" s="4"/>
      <c r="L2441" s="4"/>
      <c r="M2441" s="4"/>
      <c r="N2441" s="4"/>
      <c r="O2441" s="6"/>
    </row>
    <row r="2442" spans="2:15" s="46" customFormat="1">
      <c r="B2442" s="3"/>
      <c r="C2442" s="3"/>
      <c r="G2442" s="4"/>
      <c r="H2442" s="4"/>
      <c r="I2442" s="4"/>
      <c r="J2442" s="4"/>
      <c r="K2442" s="4"/>
      <c r="L2442" s="4"/>
      <c r="M2442" s="4"/>
      <c r="N2442" s="4"/>
      <c r="O2442" s="6"/>
    </row>
    <row r="2443" spans="2:15" s="46" customFormat="1">
      <c r="B2443" s="3"/>
      <c r="C2443" s="3"/>
      <c r="G2443" s="4"/>
      <c r="H2443" s="4"/>
      <c r="I2443" s="4"/>
      <c r="J2443" s="4"/>
      <c r="K2443" s="4"/>
      <c r="L2443" s="4"/>
      <c r="M2443" s="4"/>
      <c r="N2443" s="4"/>
      <c r="O2443" s="6"/>
    </row>
    <row r="2444" spans="2:15" s="46" customFormat="1">
      <c r="B2444" s="3"/>
      <c r="C2444" s="3"/>
      <c r="G2444" s="4"/>
      <c r="H2444" s="4"/>
      <c r="I2444" s="4"/>
      <c r="J2444" s="4"/>
      <c r="K2444" s="4"/>
      <c r="L2444" s="4"/>
      <c r="M2444" s="4"/>
      <c r="N2444" s="4"/>
      <c r="O2444" s="6"/>
    </row>
    <row r="2445" spans="2:15" s="46" customFormat="1">
      <c r="B2445" s="3"/>
      <c r="C2445" s="3"/>
      <c r="G2445" s="4"/>
      <c r="H2445" s="4"/>
      <c r="I2445" s="4"/>
      <c r="J2445" s="4"/>
      <c r="K2445" s="4"/>
      <c r="L2445" s="4"/>
      <c r="M2445" s="4"/>
      <c r="N2445" s="4"/>
      <c r="O2445" s="6"/>
    </row>
    <row r="2446" spans="2:15" s="46" customFormat="1">
      <c r="B2446" s="3"/>
      <c r="C2446" s="3"/>
      <c r="G2446" s="4"/>
      <c r="H2446" s="4"/>
      <c r="I2446" s="4"/>
      <c r="J2446" s="4"/>
      <c r="K2446" s="4"/>
      <c r="L2446" s="4"/>
      <c r="M2446" s="4"/>
      <c r="N2446" s="4"/>
      <c r="O2446" s="6"/>
    </row>
    <row r="2447" spans="2:15" s="46" customFormat="1">
      <c r="B2447" s="3"/>
      <c r="C2447" s="3"/>
      <c r="G2447" s="4"/>
      <c r="H2447" s="4"/>
      <c r="I2447" s="4"/>
      <c r="J2447" s="4"/>
      <c r="K2447" s="4"/>
      <c r="L2447" s="4"/>
      <c r="M2447" s="4"/>
      <c r="N2447" s="4"/>
      <c r="O2447" s="6"/>
    </row>
    <row r="2448" spans="2:15" s="46" customFormat="1">
      <c r="B2448" s="3"/>
      <c r="C2448" s="3"/>
      <c r="G2448" s="4"/>
      <c r="H2448" s="4"/>
      <c r="I2448" s="4"/>
      <c r="J2448" s="4"/>
      <c r="K2448" s="4"/>
      <c r="L2448" s="4"/>
      <c r="M2448" s="4"/>
      <c r="N2448" s="4"/>
      <c r="O2448" s="6"/>
    </row>
    <row r="2449" spans="2:15" s="46" customFormat="1">
      <c r="B2449" s="3"/>
      <c r="C2449" s="3"/>
      <c r="G2449" s="4"/>
      <c r="H2449" s="4"/>
      <c r="I2449" s="4"/>
      <c r="J2449" s="4"/>
      <c r="K2449" s="4"/>
      <c r="L2449" s="4"/>
      <c r="M2449" s="4"/>
      <c r="N2449" s="4"/>
      <c r="O2449" s="6"/>
    </row>
    <row r="2450" spans="2:15" s="46" customFormat="1">
      <c r="B2450" s="3"/>
      <c r="C2450" s="3"/>
      <c r="G2450" s="4"/>
      <c r="H2450" s="4"/>
      <c r="I2450" s="4"/>
      <c r="J2450" s="4"/>
      <c r="K2450" s="4"/>
      <c r="L2450" s="4"/>
      <c r="M2450" s="4"/>
      <c r="N2450" s="4"/>
      <c r="O2450" s="6"/>
    </row>
    <row r="2451" spans="2:15" s="46" customFormat="1">
      <c r="B2451" s="3"/>
      <c r="C2451" s="3"/>
      <c r="G2451" s="4"/>
      <c r="H2451" s="4"/>
      <c r="I2451" s="4"/>
      <c r="J2451" s="4"/>
      <c r="K2451" s="4"/>
      <c r="L2451" s="4"/>
      <c r="M2451" s="4"/>
      <c r="N2451" s="4"/>
      <c r="O2451" s="6"/>
    </row>
    <row r="2452" spans="2:15" s="46" customFormat="1">
      <c r="B2452" s="3"/>
      <c r="C2452" s="3"/>
      <c r="G2452" s="4"/>
      <c r="H2452" s="4"/>
      <c r="I2452" s="4"/>
      <c r="J2452" s="4"/>
      <c r="K2452" s="4"/>
      <c r="L2452" s="4"/>
      <c r="M2452" s="4"/>
      <c r="N2452" s="4"/>
      <c r="O2452" s="6"/>
    </row>
    <row r="2453" spans="2:15" s="46" customFormat="1">
      <c r="B2453" s="3"/>
      <c r="C2453" s="3"/>
      <c r="G2453" s="4"/>
      <c r="H2453" s="4"/>
      <c r="I2453" s="4"/>
      <c r="J2453" s="4"/>
      <c r="K2453" s="4"/>
      <c r="L2453" s="4"/>
      <c r="M2453" s="4"/>
      <c r="N2453" s="4"/>
      <c r="O2453" s="6"/>
    </row>
    <row r="2454" spans="2:15" s="46" customFormat="1">
      <c r="B2454" s="3"/>
      <c r="C2454" s="3"/>
      <c r="G2454" s="4"/>
      <c r="H2454" s="4"/>
      <c r="I2454" s="4"/>
      <c r="J2454" s="4"/>
      <c r="K2454" s="4"/>
      <c r="L2454" s="4"/>
      <c r="M2454" s="4"/>
      <c r="N2454" s="4"/>
      <c r="O2454" s="6"/>
    </row>
    <row r="2455" spans="2:15" s="46" customFormat="1">
      <c r="B2455" s="3"/>
      <c r="C2455" s="3"/>
      <c r="G2455" s="4"/>
      <c r="H2455" s="4"/>
      <c r="I2455" s="4"/>
      <c r="J2455" s="4"/>
      <c r="K2455" s="4"/>
      <c r="L2455" s="4"/>
      <c r="M2455" s="4"/>
      <c r="N2455" s="4"/>
      <c r="O2455" s="6"/>
    </row>
    <row r="2456" spans="2:15" s="46" customFormat="1">
      <c r="B2456" s="3"/>
      <c r="C2456" s="3"/>
      <c r="G2456" s="4"/>
      <c r="H2456" s="4"/>
      <c r="I2456" s="4"/>
      <c r="J2456" s="4"/>
      <c r="K2456" s="4"/>
      <c r="L2456" s="4"/>
      <c r="M2456" s="4"/>
      <c r="N2456" s="4"/>
      <c r="O2456" s="6"/>
    </row>
    <row r="2457" spans="2:15" s="46" customFormat="1">
      <c r="B2457" s="3"/>
      <c r="C2457" s="3"/>
      <c r="G2457" s="4"/>
      <c r="H2457" s="4"/>
      <c r="I2457" s="4"/>
      <c r="J2457" s="4"/>
      <c r="K2457" s="4"/>
      <c r="L2457" s="4"/>
      <c r="M2457" s="4"/>
      <c r="N2457" s="4"/>
      <c r="O2457" s="6"/>
    </row>
    <row r="2458" spans="2:15" s="46" customFormat="1">
      <c r="B2458" s="3"/>
      <c r="C2458" s="3"/>
      <c r="G2458" s="4"/>
      <c r="H2458" s="4"/>
      <c r="I2458" s="4"/>
      <c r="J2458" s="4"/>
      <c r="K2458" s="4"/>
      <c r="L2458" s="4"/>
      <c r="M2458" s="4"/>
      <c r="N2458" s="4"/>
      <c r="O2458" s="6"/>
    </row>
    <row r="2459" spans="2:15" s="46" customFormat="1">
      <c r="B2459" s="3"/>
      <c r="C2459" s="3"/>
      <c r="G2459" s="4"/>
      <c r="H2459" s="4"/>
      <c r="I2459" s="4"/>
      <c r="J2459" s="4"/>
      <c r="K2459" s="4"/>
      <c r="L2459" s="4"/>
      <c r="M2459" s="4"/>
      <c r="N2459" s="4"/>
      <c r="O2459" s="6"/>
    </row>
    <row r="2460" spans="2:15" s="46" customFormat="1">
      <c r="B2460" s="3"/>
      <c r="C2460" s="3"/>
      <c r="G2460" s="4"/>
      <c r="H2460" s="4"/>
      <c r="I2460" s="4"/>
      <c r="J2460" s="4"/>
      <c r="K2460" s="4"/>
      <c r="L2460" s="4"/>
      <c r="M2460" s="4"/>
      <c r="N2460" s="4"/>
      <c r="O2460" s="6"/>
    </row>
    <row r="2461" spans="2:15" s="46" customFormat="1">
      <c r="B2461" s="3"/>
      <c r="C2461" s="3"/>
      <c r="G2461" s="4"/>
      <c r="H2461" s="4"/>
      <c r="I2461" s="4"/>
      <c r="J2461" s="4"/>
      <c r="K2461" s="4"/>
      <c r="L2461" s="4"/>
      <c r="M2461" s="4"/>
      <c r="N2461" s="4"/>
      <c r="O2461" s="6"/>
    </row>
    <row r="2462" spans="2:15" s="46" customFormat="1">
      <c r="B2462" s="3"/>
      <c r="C2462" s="3"/>
      <c r="G2462" s="4"/>
      <c r="H2462" s="4"/>
      <c r="I2462" s="4"/>
      <c r="J2462" s="4"/>
      <c r="K2462" s="4"/>
      <c r="L2462" s="4"/>
      <c r="M2462" s="4"/>
      <c r="N2462" s="4"/>
      <c r="O2462" s="6"/>
    </row>
    <row r="2463" spans="2:15" s="46" customFormat="1">
      <c r="B2463" s="3"/>
      <c r="C2463" s="3"/>
      <c r="G2463" s="4"/>
      <c r="H2463" s="4"/>
      <c r="I2463" s="4"/>
      <c r="J2463" s="4"/>
      <c r="K2463" s="4"/>
      <c r="L2463" s="4"/>
      <c r="M2463" s="4"/>
      <c r="N2463" s="4"/>
      <c r="O2463" s="6"/>
    </row>
    <row r="2464" spans="2:15" s="46" customFormat="1">
      <c r="B2464" s="3"/>
      <c r="C2464" s="3"/>
      <c r="G2464" s="4"/>
      <c r="H2464" s="4"/>
      <c r="I2464" s="4"/>
      <c r="J2464" s="4"/>
      <c r="K2464" s="4"/>
      <c r="L2464" s="4"/>
      <c r="M2464" s="4"/>
      <c r="N2464" s="4"/>
      <c r="O2464" s="6"/>
    </row>
    <row r="2465" spans="2:15" s="46" customFormat="1">
      <c r="B2465" s="3"/>
      <c r="C2465" s="3"/>
      <c r="G2465" s="4"/>
      <c r="H2465" s="4"/>
      <c r="I2465" s="4"/>
      <c r="J2465" s="4"/>
      <c r="K2465" s="4"/>
      <c r="L2465" s="4"/>
      <c r="M2465" s="4"/>
      <c r="N2465" s="4"/>
      <c r="O2465" s="6"/>
    </row>
    <row r="2466" spans="2:15" s="46" customFormat="1">
      <c r="B2466" s="3"/>
      <c r="C2466" s="3"/>
      <c r="G2466" s="4"/>
      <c r="H2466" s="4"/>
      <c r="I2466" s="4"/>
      <c r="J2466" s="4"/>
      <c r="K2466" s="4"/>
      <c r="L2466" s="4"/>
      <c r="M2466" s="4"/>
      <c r="N2466" s="4"/>
      <c r="O2466" s="6"/>
    </row>
    <row r="2467" spans="2:15" s="46" customFormat="1">
      <c r="B2467" s="3"/>
      <c r="C2467" s="3"/>
      <c r="G2467" s="4"/>
      <c r="H2467" s="4"/>
      <c r="I2467" s="4"/>
      <c r="J2467" s="4"/>
      <c r="K2467" s="4"/>
      <c r="L2467" s="4"/>
      <c r="M2467" s="4"/>
      <c r="N2467" s="4"/>
      <c r="O2467" s="6"/>
    </row>
    <row r="2468" spans="2:15" s="46" customFormat="1">
      <c r="B2468" s="3"/>
      <c r="C2468" s="3"/>
      <c r="G2468" s="4"/>
      <c r="H2468" s="4"/>
      <c r="I2468" s="4"/>
      <c r="J2468" s="4"/>
      <c r="K2468" s="4"/>
      <c r="L2468" s="4"/>
      <c r="M2468" s="4"/>
      <c r="N2468" s="4"/>
      <c r="O2468" s="6"/>
    </row>
    <row r="2469" spans="2:15" s="46" customFormat="1">
      <c r="B2469" s="3"/>
      <c r="C2469" s="3"/>
      <c r="G2469" s="4"/>
      <c r="H2469" s="4"/>
      <c r="I2469" s="4"/>
      <c r="J2469" s="4"/>
      <c r="K2469" s="4"/>
      <c r="L2469" s="4"/>
      <c r="M2469" s="4"/>
      <c r="N2469" s="4"/>
      <c r="O2469" s="6"/>
    </row>
    <row r="2470" spans="2:15" s="46" customFormat="1">
      <c r="B2470" s="3"/>
      <c r="C2470" s="3"/>
      <c r="G2470" s="4"/>
      <c r="H2470" s="4"/>
      <c r="I2470" s="4"/>
      <c r="J2470" s="4"/>
      <c r="K2470" s="4"/>
      <c r="L2470" s="4"/>
      <c r="M2470" s="4"/>
      <c r="N2470" s="4"/>
      <c r="O2470" s="6"/>
    </row>
    <row r="2471" spans="2:15" s="46" customFormat="1">
      <c r="B2471" s="3"/>
      <c r="C2471" s="3"/>
      <c r="G2471" s="4"/>
      <c r="H2471" s="4"/>
      <c r="I2471" s="4"/>
      <c r="J2471" s="4"/>
      <c r="K2471" s="4"/>
      <c r="L2471" s="4"/>
      <c r="M2471" s="4"/>
      <c r="N2471" s="4"/>
      <c r="O2471" s="6"/>
    </row>
    <row r="2472" spans="2:15" s="46" customFormat="1">
      <c r="B2472" s="3"/>
      <c r="C2472" s="3"/>
      <c r="G2472" s="4"/>
      <c r="H2472" s="4"/>
      <c r="I2472" s="4"/>
      <c r="J2472" s="4"/>
      <c r="K2472" s="4"/>
      <c r="L2472" s="4"/>
      <c r="M2472" s="4"/>
      <c r="N2472" s="4"/>
      <c r="O2472" s="6"/>
    </row>
    <row r="2473" spans="2:15" s="46" customFormat="1">
      <c r="B2473" s="3"/>
      <c r="C2473" s="3"/>
      <c r="G2473" s="4"/>
      <c r="H2473" s="4"/>
      <c r="I2473" s="4"/>
      <c r="J2473" s="4"/>
      <c r="K2473" s="4"/>
      <c r="L2473" s="4"/>
      <c r="M2473" s="4"/>
      <c r="N2473" s="4"/>
      <c r="O2473" s="6"/>
    </row>
    <row r="2474" spans="2:15" s="46" customFormat="1">
      <c r="B2474" s="3"/>
      <c r="C2474" s="3"/>
      <c r="G2474" s="4"/>
      <c r="H2474" s="4"/>
      <c r="I2474" s="4"/>
      <c r="J2474" s="4"/>
      <c r="K2474" s="4"/>
      <c r="L2474" s="4"/>
      <c r="M2474" s="4"/>
      <c r="N2474" s="4"/>
      <c r="O2474" s="6"/>
    </row>
    <row r="2475" spans="2:15" s="46" customFormat="1">
      <c r="B2475" s="3"/>
      <c r="C2475" s="3"/>
      <c r="G2475" s="4"/>
      <c r="H2475" s="4"/>
      <c r="I2475" s="4"/>
      <c r="J2475" s="4"/>
      <c r="K2475" s="4"/>
      <c r="L2475" s="4"/>
      <c r="M2475" s="4"/>
      <c r="N2475" s="4"/>
      <c r="O2475" s="6"/>
    </row>
    <row r="2476" spans="2:15" s="46" customFormat="1">
      <c r="B2476" s="3"/>
      <c r="C2476" s="3"/>
      <c r="G2476" s="4"/>
      <c r="H2476" s="4"/>
      <c r="I2476" s="4"/>
      <c r="J2476" s="4"/>
      <c r="K2476" s="4"/>
      <c r="L2476" s="4"/>
      <c r="M2476" s="4"/>
      <c r="N2476" s="4"/>
      <c r="O2476" s="6"/>
    </row>
    <row r="2477" spans="2:15" s="46" customFormat="1">
      <c r="B2477" s="3"/>
      <c r="C2477" s="3"/>
      <c r="G2477" s="4"/>
      <c r="H2477" s="4"/>
      <c r="I2477" s="4"/>
      <c r="J2477" s="4"/>
      <c r="K2477" s="4"/>
      <c r="L2477" s="4"/>
      <c r="M2477" s="4"/>
      <c r="N2477" s="4"/>
      <c r="O2477" s="6"/>
    </row>
    <row r="2478" spans="2:15" s="46" customFormat="1">
      <c r="B2478" s="3"/>
      <c r="C2478" s="3"/>
      <c r="G2478" s="4"/>
      <c r="H2478" s="4"/>
      <c r="I2478" s="4"/>
      <c r="J2478" s="4"/>
      <c r="K2478" s="4"/>
      <c r="L2478" s="4"/>
      <c r="M2478" s="4"/>
      <c r="N2478" s="4"/>
      <c r="O2478" s="6"/>
    </row>
    <row r="2479" spans="2:15" s="46" customFormat="1">
      <c r="B2479" s="3"/>
      <c r="C2479" s="3"/>
      <c r="G2479" s="4"/>
      <c r="H2479" s="4"/>
      <c r="I2479" s="4"/>
      <c r="J2479" s="4"/>
      <c r="K2479" s="4"/>
      <c r="L2479" s="4"/>
      <c r="M2479" s="4"/>
      <c r="N2479" s="4"/>
      <c r="O2479" s="6"/>
    </row>
    <row r="2480" spans="2:15" s="46" customFormat="1">
      <c r="B2480" s="3"/>
      <c r="C2480" s="3"/>
      <c r="G2480" s="4"/>
      <c r="H2480" s="4"/>
      <c r="I2480" s="4"/>
      <c r="J2480" s="4"/>
      <c r="K2480" s="4"/>
      <c r="L2480" s="4"/>
      <c r="M2480" s="4"/>
      <c r="N2480" s="4"/>
      <c r="O2480" s="6"/>
    </row>
    <row r="2481" spans="2:15" s="46" customFormat="1">
      <c r="B2481" s="3"/>
      <c r="C2481" s="3"/>
      <c r="G2481" s="4"/>
      <c r="H2481" s="4"/>
      <c r="I2481" s="4"/>
      <c r="J2481" s="4"/>
      <c r="K2481" s="4"/>
      <c r="L2481" s="4"/>
      <c r="M2481" s="4"/>
      <c r="N2481" s="4"/>
      <c r="O2481" s="6"/>
    </row>
    <row r="2482" spans="2:15" s="46" customFormat="1">
      <c r="B2482" s="3"/>
      <c r="C2482" s="3"/>
      <c r="G2482" s="4"/>
      <c r="H2482" s="4"/>
      <c r="I2482" s="4"/>
      <c r="J2482" s="4"/>
      <c r="K2482" s="4"/>
      <c r="L2482" s="4"/>
      <c r="M2482" s="4"/>
      <c r="N2482" s="4"/>
      <c r="O2482" s="6"/>
    </row>
    <row r="2483" spans="2:15" s="46" customFormat="1">
      <c r="B2483" s="3"/>
      <c r="C2483" s="3"/>
      <c r="G2483" s="4"/>
      <c r="H2483" s="4"/>
      <c r="I2483" s="4"/>
      <c r="J2483" s="4"/>
      <c r="K2483" s="4"/>
      <c r="L2483" s="4"/>
      <c r="M2483" s="4"/>
      <c r="N2483" s="4"/>
      <c r="O2483" s="6"/>
    </row>
    <row r="2484" spans="2:15" s="46" customFormat="1">
      <c r="B2484" s="3"/>
      <c r="C2484" s="3"/>
      <c r="G2484" s="4"/>
      <c r="H2484" s="4"/>
      <c r="I2484" s="4"/>
      <c r="J2484" s="4"/>
      <c r="K2484" s="4"/>
      <c r="L2484" s="4"/>
      <c r="M2484" s="4"/>
      <c r="N2484" s="4"/>
      <c r="O2484" s="6"/>
    </row>
    <row r="2485" spans="2:15" s="46" customFormat="1">
      <c r="B2485" s="3"/>
      <c r="C2485" s="3"/>
      <c r="G2485" s="4"/>
      <c r="H2485" s="4"/>
      <c r="I2485" s="4"/>
      <c r="J2485" s="4"/>
      <c r="K2485" s="4"/>
      <c r="L2485" s="4"/>
      <c r="M2485" s="4"/>
      <c r="N2485" s="4"/>
      <c r="O2485" s="6"/>
    </row>
    <row r="2486" spans="2:15" s="46" customFormat="1">
      <c r="B2486" s="3"/>
      <c r="C2486" s="3"/>
      <c r="G2486" s="4"/>
      <c r="H2486" s="4"/>
      <c r="I2486" s="4"/>
      <c r="J2486" s="4"/>
      <c r="K2486" s="4"/>
      <c r="L2486" s="4"/>
      <c r="M2486" s="4"/>
      <c r="N2486" s="4"/>
      <c r="O2486" s="6"/>
    </row>
    <row r="2487" spans="2:15" s="46" customFormat="1">
      <c r="B2487" s="3"/>
      <c r="C2487" s="3"/>
      <c r="G2487" s="4"/>
      <c r="H2487" s="4"/>
      <c r="I2487" s="4"/>
      <c r="J2487" s="4"/>
      <c r="K2487" s="4"/>
      <c r="L2487" s="4"/>
      <c r="M2487" s="4"/>
      <c r="N2487" s="4"/>
      <c r="O2487" s="6"/>
    </row>
    <row r="2488" spans="2:15" s="46" customFormat="1">
      <c r="B2488" s="3"/>
      <c r="C2488" s="3"/>
      <c r="G2488" s="4"/>
      <c r="H2488" s="4"/>
      <c r="I2488" s="4"/>
      <c r="J2488" s="4"/>
      <c r="K2488" s="4"/>
      <c r="L2488" s="4"/>
      <c r="M2488" s="4"/>
      <c r="N2488" s="4"/>
      <c r="O2488" s="6"/>
    </row>
    <row r="2489" spans="2:15" s="46" customFormat="1">
      <c r="B2489" s="3"/>
      <c r="C2489" s="3"/>
      <c r="G2489" s="4"/>
      <c r="H2489" s="4"/>
      <c r="I2489" s="4"/>
      <c r="J2489" s="4"/>
      <c r="K2489" s="4"/>
      <c r="L2489" s="4"/>
      <c r="M2489" s="4"/>
      <c r="N2489" s="4"/>
      <c r="O2489" s="6"/>
    </row>
    <row r="2490" spans="2:15" s="46" customFormat="1">
      <c r="B2490" s="3"/>
      <c r="C2490" s="3"/>
      <c r="G2490" s="4"/>
      <c r="H2490" s="4"/>
      <c r="I2490" s="4"/>
      <c r="J2490" s="4"/>
      <c r="K2490" s="4"/>
      <c r="L2490" s="4"/>
      <c r="M2490" s="4"/>
      <c r="N2490" s="4"/>
      <c r="O2490" s="6"/>
    </row>
    <row r="2491" spans="2:15" s="46" customFormat="1">
      <c r="B2491" s="3"/>
      <c r="C2491" s="3"/>
      <c r="G2491" s="4"/>
      <c r="H2491" s="4"/>
      <c r="I2491" s="4"/>
      <c r="J2491" s="4"/>
      <c r="K2491" s="4"/>
      <c r="L2491" s="4"/>
      <c r="M2491" s="4"/>
      <c r="N2491" s="4"/>
      <c r="O2491" s="6"/>
    </row>
    <row r="2492" spans="2:15" s="46" customFormat="1">
      <c r="B2492" s="3"/>
      <c r="C2492" s="3"/>
      <c r="G2492" s="4"/>
      <c r="H2492" s="4"/>
      <c r="I2492" s="4"/>
      <c r="J2492" s="4"/>
      <c r="K2492" s="4"/>
      <c r="L2492" s="4"/>
      <c r="M2492" s="4"/>
      <c r="N2492" s="4"/>
      <c r="O2492" s="6"/>
    </row>
    <row r="2493" spans="2:15" s="46" customFormat="1">
      <c r="B2493" s="3"/>
      <c r="C2493" s="3"/>
      <c r="G2493" s="4"/>
      <c r="H2493" s="4"/>
      <c r="I2493" s="4"/>
      <c r="J2493" s="4"/>
      <c r="K2493" s="4"/>
      <c r="L2493" s="4"/>
      <c r="M2493" s="4"/>
      <c r="N2493" s="4"/>
      <c r="O2493" s="6"/>
    </row>
    <row r="2494" spans="2:15" s="46" customFormat="1">
      <c r="B2494" s="3"/>
      <c r="C2494" s="3"/>
      <c r="G2494" s="4"/>
      <c r="H2494" s="4"/>
      <c r="I2494" s="4"/>
      <c r="J2494" s="4"/>
      <c r="K2494" s="4"/>
      <c r="L2494" s="4"/>
      <c r="M2494" s="4"/>
      <c r="N2494" s="4"/>
      <c r="O2494" s="6"/>
    </row>
    <row r="2495" spans="2:15" s="46" customFormat="1">
      <c r="B2495" s="3"/>
      <c r="C2495" s="3"/>
      <c r="G2495" s="4"/>
      <c r="H2495" s="4"/>
      <c r="I2495" s="4"/>
      <c r="J2495" s="4"/>
      <c r="K2495" s="4"/>
      <c r="L2495" s="4"/>
      <c r="M2495" s="4"/>
      <c r="N2495" s="4"/>
      <c r="O2495" s="6"/>
    </row>
    <row r="2496" spans="2:15" s="46" customFormat="1">
      <c r="B2496" s="3"/>
      <c r="C2496" s="3"/>
      <c r="G2496" s="4"/>
      <c r="H2496" s="4"/>
      <c r="I2496" s="4"/>
      <c r="J2496" s="4"/>
      <c r="K2496" s="4"/>
      <c r="L2496" s="4"/>
      <c r="M2496" s="4"/>
      <c r="N2496" s="4"/>
      <c r="O2496" s="6"/>
    </row>
    <row r="2497" spans="2:15" s="46" customFormat="1">
      <c r="B2497" s="3"/>
      <c r="C2497" s="3"/>
      <c r="G2497" s="4"/>
      <c r="H2497" s="4"/>
      <c r="I2497" s="4"/>
      <c r="J2497" s="4"/>
      <c r="K2497" s="4"/>
      <c r="L2497" s="4"/>
      <c r="M2497" s="4"/>
      <c r="N2497" s="4"/>
      <c r="O2497" s="6"/>
    </row>
    <row r="2498" spans="2:15" s="46" customFormat="1">
      <c r="B2498" s="3"/>
      <c r="C2498" s="3"/>
      <c r="G2498" s="4"/>
      <c r="H2498" s="4"/>
      <c r="I2498" s="4"/>
      <c r="J2498" s="4"/>
      <c r="K2498" s="4"/>
      <c r="L2498" s="4"/>
      <c r="M2498" s="4"/>
      <c r="N2498" s="4"/>
      <c r="O2498" s="6"/>
    </row>
    <row r="2499" spans="2:15" s="46" customFormat="1">
      <c r="B2499" s="3"/>
      <c r="C2499" s="3"/>
      <c r="G2499" s="4"/>
      <c r="H2499" s="4"/>
      <c r="I2499" s="4"/>
      <c r="J2499" s="4"/>
      <c r="K2499" s="4"/>
      <c r="L2499" s="4"/>
      <c r="M2499" s="4"/>
      <c r="N2499" s="4"/>
      <c r="O2499" s="6"/>
    </row>
    <row r="2500" spans="2:15" s="46" customFormat="1">
      <c r="B2500" s="3"/>
      <c r="C2500" s="3"/>
      <c r="G2500" s="4"/>
      <c r="H2500" s="4"/>
      <c r="I2500" s="4"/>
      <c r="J2500" s="4"/>
      <c r="K2500" s="4"/>
      <c r="L2500" s="4"/>
      <c r="M2500" s="4"/>
      <c r="N2500" s="4"/>
      <c r="O2500" s="6"/>
    </row>
    <row r="2501" spans="2:15" s="46" customFormat="1">
      <c r="B2501" s="3"/>
      <c r="C2501" s="3"/>
      <c r="G2501" s="4"/>
      <c r="H2501" s="4"/>
      <c r="I2501" s="4"/>
      <c r="J2501" s="4"/>
      <c r="K2501" s="4"/>
      <c r="L2501" s="4"/>
      <c r="M2501" s="4"/>
      <c r="N2501" s="4"/>
      <c r="O2501" s="6"/>
    </row>
    <row r="2502" spans="2:15" s="46" customFormat="1">
      <c r="B2502" s="3"/>
      <c r="C2502" s="3"/>
      <c r="G2502" s="4"/>
      <c r="H2502" s="4"/>
      <c r="I2502" s="4"/>
      <c r="J2502" s="4"/>
      <c r="K2502" s="4"/>
      <c r="L2502" s="4"/>
      <c r="M2502" s="4"/>
      <c r="N2502" s="4"/>
      <c r="O2502" s="6"/>
    </row>
    <row r="2503" spans="2:15" s="46" customFormat="1">
      <c r="B2503" s="3"/>
      <c r="C2503" s="3"/>
      <c r="G2503" s="4"/>
      <c r="H2503" s="4"/>
      <c r="I2503" s="4"/>
      <c r="J2503" s="4"/>
      <c r="K2503" s="4"/>
      <c r="L2503" s="4"/>
      <c r="M2503" s="4"/>
      <c r="N2503" s="4"/>
      <c r="O2503" s="6"/>
    </row>
    <row r="2504" spans="2:15" s="46" customFormat="1">
      <c r="B2504" s="3"/>
      <c r="C2504" s="3"/>
      <c r="G2504" s="4"/>
      <c r="H2504" s="4"/>
      <c r="I2504" s="4"/>
      <c r="J2504" s="4"/>
      <c r="K2504" s="4"/>
      <c r="L2504" s="4"/>
      <c r="M2504" s="4"/>
      <c r="N2504" s="4"/>
      <c r="O2504" s="6"/>
    </row>
    <row r="2505" spans="2:15" s="46" customFormat="1">
      <c r="B2505" s="3"/>
      <c r="C2505" s="3"/>
      <c r="G2505" s="4"/>
      <c r="H2505" s="4"/>
      <c r="I2505" s="4"/>
      <c r="J2505" s="4"/>
      <c r="K2505" s="4"/>
      <c r="L2505" s="4"/>
      <c r="M2505" s="4"/>
      <c r="N2505" s="4"/>
      <c r="O2505" s="6"/>
    </row>
    <row r="2506" spans="2:15" s="46" customFormat="1">
      <c r="B2506" s="3"/>
      <c r="C2506" s="3"/>
      <c r="G2506" s="4"/>
      <c r="H2506" s="4"/>
      <c r="I2506" s="4"/>
      <c r="J2506" s="4"/>
      <c r="K2506" s="4"/>
      <c r="L2506" s="4"/>
      <c r="M2506" s="4"/>
      <c r="N2506" s="4"/>
      <c r="O2506" s="6"/>
    </row>
    <row r="2507" spans="2:15" s="46" customFormat="1">
      <c r="B2507" s="3"/>
      <c r="C2507" s="3"/>
      <c r="G2507" s="4"/>
      <c r="H2507" s="4"/>
      <c r="I2507" s="4"/>
      <c r="J2507" s="4"/>
      <c r="K2507" s="4"/>
      <c r="L2507" s="4"/>
      <c r="M2507" s="4"/>
      <c r="N2507" s="4"/>
      <c r="O2507" s="6"/>
    </row>
    <row r="2508" spans="2:15" s="46" customFormat="1">
      <c r="B2508" s="3"/>
      <c r="C2508" s="3"/>
      <c r="G2508" s="4"/>
      <c r="H2508" s="4"/>
      <c r="I2508" s="4"/>
      <c r="J2508" s="4"/>
      <c r="K2508" s="4"/>
      <c r="L2508" s="4"/>
      <c r="M2508" s="4"/>
      <c r="N2508" s="4"/>
      <c r="O2508" s="6"/>
    </row>
    <row r="2509" spans="2:15" s="46" customFormat="1">
      <c r="B2509" s="3"/>
      <c r="C2509" s="3"/>
      <c r="G2509" s="4"/>
      <c r="H2509" s="4"/>
      <c r="I2509" s="4"/>
      <c r="J2509" s="4"/>
      <c r="K2509" s="4"/>
      <c r="L2509" s="4"/>
      <c r="M2509" s="4"/>
      <c r="N2509" s="4"/>
      <c r="O2509" s="6"/>
    </row>
    <row r="2510" spans="2:15" s="46" customFormat="1">
      <c r="B2510" s="3"/>
      <c r="C2510" s="3"/>
      <c r="G2510" s="4"/>
      <c r="H2510" s="4"/>
      <c r="I2510" s="4"/>
      <c r="J2510" s="4"/>
      <c r="K2510" s="4"/>
      <c r="L2510" s="4"/>
      <c r="M2510" s="4"/>
      <c r="N2510" s="4"/>
      <c r="O2510" s="6"/>
    </row>
    <row r="2511" spans="2:15" s="46" customFormat="1">
      <c r="B2511" s="3"/>
      <c r="C2511" s="3"/>
      <c r="G2511" s="4"/>
      <c r="H2511" s="4"/>
      <c r="I2511" s="4"/>
      <c r="J2511" s="4"/>
      <c r="K2511" s="4"/>
      <c r="L2511" s="4"/>
      <c r="M2511" s="4"/>
      <c r="N2511" s="4"/>
      <c r="O2511" s="6"/>
    </row>
    <row r="2512" spans="2:15" s="46" customFormat="1">
      <c r="B2512" s="3"/>
      <c r="C2512" s="3"/>
      <c r="G2512" s="4"/>
      <c r="H2512" s="4"/>
      <c r="I2512" s="4"/>
      <c r="J2512" s="4"/>
      <c r="K2512" s="4"/>
      <c r="L2512" s="4"/>
      <c r="M2512" s="4"/>
      <c r="N2512" s="4"/>
      <c r="O2512" s="6"/>
    </row>
    <row r="2513" spans="2:15" s="46" customFormat="1">
      <c r="B2513" s="3"/>
      <c r="C2513" s="3"/>
      <c r="G2513" s="4"/>
      <c r="H2513" s="4"/>
      <c r="I2513" s="4"/>
      <c r="J2513" s="4"/>
      <c r="K2513" s="4"/>
      <c r="L2513" s="4"/>
      <c r="M2513" s="4"/>
      <c r="N2513" s="4"/>
      <c r="O2513" s="6"/>
    </row>
    <row r="2514" spans="2:15" s="46" customFormat="1">
      <c r="B2514" s="3"/>
      <c r="C2514" s="3"/>
      <c r="G2514" s="4"/>
      <c r="H2514" s="4"/>
      <c r="I2514" s="4"/>
      <c r="J2514" s="4"/>
      <c r="K2514" s="4"/>
      <c r="L2514" s="4"/>
      <c r="M2514" s="4"/>
      <c r="N2514" s="4"/>
      <c r="O2514" s="6"/>
    </row>
    <row r="2515" spans="2:15" s="46" customFormat="1">
      <c r="B2515" s="3"/>
      <c r="C2515" s="3"/>
      <c r="G2515" s="4"/>
      <c r="H2515" s="4"/>
      <c r="I2515" s="4"/>
      <c r="J2515" s="4"/>
      <c r="K2515" s="4"/>
      <c r="L2515" s="4"/>
      <c r="M2515" s="4"/>
      <c r="N2515" s="4"/>
      <c r="O2515" s="6"/>
    </row>
    <row r="2516" spans="2:15" s="46" customFormat="1">
      <c r="B2516" s="3"/>
      <c r="C2516" s="3"/>
      <c r="G2516" s="4"/>
      <c r="H2516" s="4"/>
      <c r="I2516" s="4"/>
      <c r="J2516" s="4"/>
      <c r="K2516" s="4"/>
      <c r="L2516" s="4"/>
      <c r="M2516" s="4"/>
      <c r="N2516" s="4"/>
      <c r="O2516" s="6"/>
    </row>
    <row r="2517" spans="2:15" s="46" customFormat="1">
      <c r="B2517" s="3"/>
      <c r="C2517" s="3"/>
      <c r="G2517" s="4"/>
      <c r="H2517" s="4"/>
      <c r="I2517" s="4"/>
      <c r="J2517" s="4"/>
      <c r="K2517" s="4"/>
      <c r="L2517" s="4"/>
      <c r="M2517" s="4"/>
      <c r="N2517" s="4"/>
      <c r="O2517" s="6"/>
    </row>
    <row r="2518" spans="2:15" s="46" customFormat="1">
      <c r="B2518" s="3"/>
      <c r="C2518" s="3"/>
      <c r="G2518" s="4"/>
      <c r="H2518" s="4"/>
      <c r="I2518" s="4"/>
      <c r="J2518" s="4"/>
      <c r="K2518" s="4"/>
      <c r="L2518" s="4"/>
      <c r="M2518" s="4"/>
      <c r="N2518" s="4"/>
      <c r="O2518" s="6"/>
    </row>
    <row r="2519" spans="2:15" s="46" customFormat="1">
      <c r="B2519" s="3"/>
      <c r="C2519" s="3"/>
      <c r="G2519" s="4"/>
      <c r="H2519" s="4"/>
      <c r="I2519" s="4"/>
      <c r="J2519" s="4"/>
      <c r="K2519" s="4"/>
      <c r="L2519" s="4"/>
      <c r="M2519" s="4"/>
      <c r="N2519" s="4"/>
      <c r="O2519" s="6"/>
    </row>
    <row r="2520" spans="2:15" s="46" customFormat="1">
      <c r="B2520" s="3"/>
      <c r="C2520" s="3"/>
      <c r="G2520" s="4"/>
      <c r="H2520" s="4"/>
      <c r="I2520" s="4"/>
      <c r="J2520" s="4"/>
      <c r="K2520" s="4"/>
      <c r="L2520" s="4"/>
      <c r="M2520" s="4"/>
      <c r="N2520" s="4"/>
      <c r="O2520" s="6"/>
    </row>
    <row r="2521" spans="2:15" s="46" customFormat="1">
      <c r="B2521" s="3"/>
      <c r="C2521" s="3"/>
      <c r="G2521" s="4"/>
      <c r="H2521" s="4"/>
      <c r="I2521" s="4"/>
      <c r="J2521" s="4"/>
      <c r="K2521" s="4"/>
      <c r="L2521" s="4"/>
      <c r="M2521" s="4"/>
      <c r="N2521" s="4"/>
      <c r="O2521" s="6"/>
    </row>
    <row r="2522" spans="2:15" s="46" customFormat="1">
      <c r="B2522" s="3"/>
      <c r="C2522" s="3"/>
      <c r="G2522" s="4"/>
      <c r="H2522" s="4"/>
      <c r="I2522" s="4"/>
      <c r="J2522" s="4"/>
      <c r="K2522" s="4"/>
      <c r="L2522" s="4"/>
      <c r="M2522" s="4"/>
      <c r="N2522" s="4"/>
      <c r="O2522" s="6"/>
    </row>
    <row r="2523" spans="2:15" s="46" customFormat="1">
      <c r="B2523" s="3"/>
      <c r="C2523" s="3"/>
      <c r="G2523" s="4"/>
      <c r="H2523" s="4"/>
      <c r="I2523" s="4"/>
      <c r="J2523" s="4"/>
      <c r="K2523" s="4"/>
      <c r="L2523" s="4"/>
      <c r="M2523" s="4"/>
      <c r="N2523" s="4"/>
      <c r="O2523" s="6"/>
    </row>
    <row r="2524" spans="2:15" s="46" customFormat="1">
      <c r="B2524" s="3"/>
      <c r="C2524" s="3"/>
      <c r="G2524" s="4"/>
      <c r="H2524" s="4"/>
      <c r="I2524" s="4"/>
      <c r="J2524" s="4"/>
      <c r="K2524" s="4"/>
      <c r="L2524" s="4"/>
      <c r="M2524" s="4"/>
      <c r="N2524" s="4"/>
      <c r="O2524" s="6"/>
    </row>
    <row r="2525" spans="2:15" s="46" customFormat="1">
      <c r="B2525" s="3"/>
      <c r="C2525" s="3"/>
      <c r="G2525" s="4"/>
      <c r="H2525" s="4"/>
      <c r="I2525" s="4"/>
      <c r="J2525" s="4"/>
      <c r="K2525" s="4"/>
      <c r="L2525" s="4"/>
      <c r="M2525" s="4"/>
      <c r="N2525" s="4"/>
      <c r="O2525" s="6"/>
    </row>
    <row r="2526" spans="2:15" s="46" customFormat="1">
      <c r="B2526" s="3"/>
      <c r="C2526" s="3"/>
      <c r="G2526" s="4"/>
      <c r="H2526" s="4"/>
      <c r="I2526" s="4"/>
      <c r="J2526" s="4"/>
      <c r="K2526" s="4"/>
      <c r="L2526" s="4"/>
      <c r="M2526" s="4"/>
      <c r="N2526" s="4"/>
      <c r="O2526" s="6"/>
    </row>
    <row r="2527" spans="2:15" s="46" customFormat="1">
      <c r="B2527" s="3"/>
      <c r="C2527" s="3"/>
      <c r="G2527" s="4"/>
      <c r="H2527" s="4"/>
      <c r="I2527" s="4"/>
      <c r="J2527" s="4"/>
      <c r="K2527" s="4"/>
      <c r="L2527" s="4"/>
      <c r="M2527" s="4"/>
      <c r="N2527" s="4"/>
      <c r="O2527" s="6"/>
    </row>
    <row r="2528" spans="2:15" s="46" customFormat="1">
      <c r="B2528" s="3"/>
      <c r="C2528" s="3"/>
      <c r="G2528" s="4"/>
      <c r="H2528" s="4"/>
      <c r="I2528" s="4"/>
      <c r="J2528" s="4"/>
      <c r="K2528" s="4"/>
      <c r="L2528" s="4"/>
      <c r="M2528" s="4"/>
      <c r="N2528" s="4"/>
      <c r="O2528" s="6"/>
    </row>
    <row r="2529" spans="2:15" s="46" customFormat="1">
      <c r="B2529" s="3"/>
      <c r="C2529" s="3"/>
      <c r="G2529" s="4"/>
      <c r="H2529" s="4"/>
      <c r="I2529" s="4"/>
      <c r="J2529" s="4"/>
      <c r="K2529" s="4"/>
      <c r="L2529" s="4"/>
      <c r="M2529" s="4"/>
      <c r="N2529" s="4"/>
      <c r="O2529" s="6"/>
    </row>
    <row r="2530" spans="2:15" s="46" customFormat="1">
      <c r="B2530" s="3"/>
      <c r="C2530" s="3"/>
      <c r="G2530" s="4"/>
      <c r="H2530" s="4"/>
      <c r="I2530" s="4"/>
      <c r="J2530" s="4"/>
      <c r="K2530" s="4"/>
      <c r="L2530" s="4"/>
      <c r="M2530" s="4"/>
      <c r="N2530" s="4"/>
      <c r="O2530" s="6"/>
    </row>
    <row r="2531" spans="2:15" s="46" customFormat="1">
      <c r="B2531" s="3"/>
      <c r="C2531" s="3"/>
      <c r="G2531" s="4"/>
      <c r="H2531" s="4"/>
      <c r="I2531" s="4"/>
      <c r="J2531" s="4"/>
      <c r="K2531" s="4"/>
      <c r="L2531" s="4"/>
      <c r="M2531" s="4"/>
      <c r="N2531" s="4"/>
      <c r="O2531" s="6"/>
    </row>
    <row r="2532" spans="2:15" s="46" customFormat="1">
      <c r="B2532" s="3"/>
      <c r="C2532" s="3"/>
      <c r="G2532" s="4"/>
      <c r="H2532" s="4"/>
      <c r="I2532" s="4"/>
      <c r="J2532" s="4"/>
      <c r="K2532" s="4"/>
      <c r="L2532" s="4"/>
      <c r="M2532" s="4"/>
      <c r="N2532" s="4"/>
      <c r="O2532" s="6"/>
    </row>
    <row r="2533" spans="2:15" s="46" customFormat="1">
      <c r="B2533" s="3"/>
      <c r="C2533" s="3"/>
      <c r="G2533" s="4"/>
      <c r="H2533" s="4"/>
      <c r="I2533" s="4"/>
      <c r="J2533" s="4"/>
      <c r="K2533" s="4"/>
      <c r="L2533" s="4"/>
      <c r="M2533" s="4"/>
      <c r="N2533" s="4"/>
      <c r="O2533" s="6"/>
    </row>
    <row r="2534" spans="2:15" s="46" customFormat="1">
      <c r="B2534" s="3"/>
      <c r="C2534" s="3"/>
      <c r="G2534" s="4"/>
      <c r="H2534" s="4"/>
      <c r="I2534" s="4"/>
      <c r="J2534" s="4"/>
      <c r="K2534" s="4"/>
      <c r="L2534" s="4"/>
      <c r="M2534" s="4"/>
      <c r="N2534" s="4"/>
      <c r="O2534" s="6"/>
    </row>
    <row r="2535" spans="2:15" s="46" customFormat="1">
      <c r="B2535" s="3"/>
      <c r="C2535" s="3"/>
      <c r="G2535" s="4"/>
      <c r="H2535" s="4"/>
      <c r="I2535" s="4"/>
      <c r="J2535" s="4"/>
      <c r="K2535" s="4"/>
      <c r="L2535" s="4"/>
      <c r="M2535" s="4"/>
      <c r="N2535" s="4"/>
      <c r="O2535" s="6"/>
    </row>
    <row r="2536" spans="2:15" s="46" customFormat="1">
      <c r="B2536" s="3"/>
      <c r="C2536" s="3"/>
      <c r="G2536" s="4"/>
      <c r="H2536" s="4"/>
      <c r="I2536" s="4"/>
      <c r="J2536" s="4"/>
      <c r="K2536" s="4"/>
      <c r="L2536" s="4"/>
      <c r="M2536" s="4"/>
      <c r="N2536" s="4"/>
      <c r="O2536" s="6"/>
    </row>
    <row r="2537" spans="2:15" s="46" customFormat="1">
      <c r="B2537" s="3"/>
      <c r="C2537" s="3"/>
      <c r="G2537" s="4"/>
      <c r="H2537" s="4"/>
      <c r="I2537" s="4"/>
      <c r="J2537" s="4"/>
      <c r="K2537" s="4"/>
      <c r="L2537" s="4"/>
      <c r="M2537" s="4"/>
      <c r="N2537" s="4"/>
      <c r="O2537" s="6"/>
    </row>
    <row r="2538" spans="2:15" s="46" customFormat="1">
      <c r="B2538" s="3"/>
      <c r="C2538" s="3"/>
      <c r="G2538" s="4"/>
      <c r="H2538" s="4"/>
      <c r="I2538" s="4"/>
      <c r="J2538" s="4"/>
      <c r="K2538" s="4"/>
      <c r="L2538" s="4"/>
      <c r="M2538" s="4"/>
      <c r="N2538" s="4"/>
      <c r="O2538" s="6"/>
    </row>
    <row r="2539" spans="2:15" s="46" customFormat="1">
      <c r="B2539" s="3"/>
      <c r="C2539" s="3"/>
      <c r="G2539" s="4"/>
      <c r="H2539" s="4"/>
      <c r="I2539" s="4"/>
      <c r="J2539" s="4"/>
      <c r="K2539" s="4"/>
      <c r="L2539" s="4"/>
      <c r="M2539" s="4"/>
      <c r="N2539" s="4"/>
      <c r="O2539" s="6"/>
    </row>
    <row r="2540" spans="2:15" s="46" customFormat="1">
      <c r="B2540" s="3"/>
      <c r="C2540" s="3"/>
      <c r="G2540" s="4"/>
      <c r="H2540" s="4"/>
      <c r="I2540" s="4"/>
      <c r="J2540" s="4"/>
      <c r="K2540" s="4"/>
      <c r="L2540" s="4"/>
      <c r="M2540" s="4"/>
      <c r="N2540" s="4"/>
      <c r="O2540" s="6"/>
    </row>
    <row r="2541" spans="2:15" s="46" customFormat="1">
      <c r="B2541" s="3"/>
      <c r="C2541" s="3"/>
      <c r="G2541" s="4"/>
      <c r="H2541" s="4"/>
      <c r="I2541" s="4"/>
      <c r="J2541" s="4"/>
      <c r="K2541" s="4"/>
      <c r="L2541" s="4"/>
      <c r="M2541" s="4"/>
      <c r="N2541" s="4"/>
      <c r="O2541" s="6"/>
    </row>
    <row r="2542" spans="2:15" s="46" customFormat="1">
      <c r="B2542" s="3"/>
      <c r="C2542" s="3"/>
      <c r="G2542" s="4"/>
      <c r="H2542" s="4"/>
      <c r="I2542" s="4"/>
      <c r="J2542" s="4"/>
      <c r="K2542" s="4"/>
      <c r="L2542" s="4"/>
      <c r="M2542" s="4"/>
      <c r="N2542" s="4"/>
      <c r="O2542" s="6"/>
    </row>
    <row r="2543" spans="2:15" s="46" customFormat="1">
      <c r="B2543" s="3"/>
      <c r="C2543" s="3"/>
      <c r="G2543" s="4"/>
      <c r="H2543" s="4"/>
      <c r="I2543" s="4"/>
      <c r="J2543" s="4"/>
      <c r="K2543" s="4"/>
      <c r="L2543" s="4"/>
      <c r="M2543" s="4"/>
      <c r="N2543" s="4"/>
      <c r="O2543" s="6"/>
    </row>
    <row r="2544" spans="2:15" s="46" customFormat="1">
      <c r="B2544" s="3"/>
      <c r="C2544" s="3"/>
      <c r="G2544" s="4"/>
      <c r="H2544" s="4"/>
      <c r="I2544" s="4"/>
      <c r="J2544" s="4"/>
      <c r="K2544" s="4"/>
      <c r="L2544" s="4"/>
      <c r="M2544" s="4"/>
      <c r="N2544" s="4"/>
      <c r="O2544" s="6"/>
    </row>
    <row r="2545" spans="2:15" s="46" customFormat="1">
      <c r="B2545" s="3"/>
      <c r="C2545" s="3"/>
      <c r="G2545" s="4"/>
      <c r="H2545" s="4"/>
      <c r="I2545" s="4"/>
      <c r="J2545" s="4"/>
      <c r="K2545" s="4"/>
      <c r="L2545" s="4"/>
      <c r="M2545" s="4"/>
      <c r="N2545" s="4"/>
      <c r="O2545" s="6"/>
    </row>
    <row r="2546" spans="2:15" s="46" customFormat="1">
      <c r="B2546" s="3"/>
      <c r="C2546" s="3"/>
      <c r="G2546" s="4"/>
      <c r="H2546" s="4"/>
      <c r="I2546" s="4"/>
      <c r="J2546" s="4"/>
      <c r="K2546" s="4"/>
      <c r="L2546" s="4"/>
      <c r="M2546" s="4"/>
      <c r="N2546" s="4"/>
      <c r="O2546" s="6"/>
    </row>
    <row r="2547" spans="2:15" s="46" customFormat="1">
      <c r="B2547" s="3"/>
      <c r="C2547" s="3"/>
      <c r="G2547" s="4"/>
      <c r="H2547" s="4"/>
      <c r="I2547" s="4"/>
      <c r="J2547" s="4"/>
      <c r="K2547" s="4"/>
      <c r="L2547" s="4"/>
      <c r="M2547" s="4"/>
      <c r="N2547" s="4"/>
      <c r="O2547" s="6"/>
    </row>
    <row r="2548" spans="2:15" s="46" customFormat="1">
      <c r="B2548" s="3"/>
      <c r="C2548" s="3"/>
      <c r="G2548" s="4"/>
      <c r="H2548" s="4"/>
      <c r="I2548" s="4"/>
      <c r="J2548" s="4"/>
      <c r="K2548" s="4"/>
      <c r="L2548" s="4"/>
      <c r="M2548" s="4"/>
      <c r="N2548" s="4"/>
      <c r="O2548" s="6"/>
    </row>
    <row r="2549" spans="2:15" s="46" customFormat="1">
      <c r="B2549" s="3"/>
      <c r="C2549" s="3"/>
      <c r="G2549" s="4"/>
      <c r="H2549" s="4"/>
      <c r="I2549" s="4"/>
      <c r="J2549" s="4"/>
      <c r="K2549" s="4"/>
      <c r="L2549" s="4"/>
      <c r="M2549" s="4"/>
      <c r="N2549" s="4"/>
      <c r="O2549" s="6"/>
    </row>
    <row r="2550" spans="2:15" s="46" customFormat="1">
      <c r="B2550" s="3"/>
      <c r="C2550" s="3"/>
      <c r="G2550" s="4"/>
      <c r="H2550" s="4"/>
      <c r="I2550" s="4"/>
      <c r="J2550" s="4"/>
      <c r="K2550" s="4"/>
      <c r="L2550" s="4"/>
      <c r="M2550" s="4"/>
      <c r="N2550" s="4"/>
      <c r="O2550" s="6"/>
    </row>
    <row r="2551" spans="2:15" s="46" customFormat="1">
      <c r="B2551" s="3"/>
      <c r="C2551" s="3"/>
      <c r="G2551" s="4"/>
      <c r="H2551" s="4"/>
      <c r="I2551" s="4"/>
      <c r="J2551" s="4"/>
      <c r="K2551" s="4"/>
      <c r="L2551" s="4"/>
      <c r="M2551" s="4"/>
      <c r="N2551" s="4"/>
      <c r="O2551" s="6"/>
    </row>
    <row r="2552" spans="2:15" s="46" customFormat="1">
      <c r="B2552" s="3"/>
      <c r="C2552" s="3"/>
      <c r="G2552" s="4"/>
      <c r="H2552" s="4"/>
      <c r="I2552" s="4"/>
      <c r="J2552" s="4"/>
      <c r="K2552" s="4"/>
      <c r="L2552" s="4"/>
      <c r="M2552" s="4"/>
      <c r="N2552" s="4"/>
      <c r="O2552" s="6"/>
    </row>
    <row r="2553" spans="2:15" s="46" customFormat="1">
      <c r="B2553" s="3"/>
      <c r="C2553" s="3"/>
      <c r="G2553" s="4"/>
      <c r="H2553" s="4"/>
      <c r="I2553" s="4"/>
      <c r="J2553" s="4"/>
      <c r="K2553" s="4"/>
      <c r="L2553" s="4"/>
      <c r="M2553" s="4"/>
      <c r="N2553" s="4"/>
      <c r="O2553" s="6"/>
    </row>
    <row r="2554" spans="2:15" s="46" customFormat="1">
      <c r="B2554" s="3"/>
      <c r="C2554" s="3"/>
      <c r="G2554" s="4"/>
      <c r="H2554" s="4"/>
      <c r="I2554" s="4"/>
      <c r="J2554" s="4"/>
      <c r="K2554" s="4"/>
      <c r="L2554" s="4"/>
      <c r="M2554" s="4"/>
      <c r="N2554" s="4"/>
      <c r="O2554" s="6"/>
    </row>
    <row r="2555" spans="2:15" s="46" customFormat="1">
      <c r="B2555" s="3"/>
      <c r="C2555" s="3"/>
      <c r="G2555" s="4"/>
      <c r="H2555" s="4"/>
      <c r="I2555" s="4"/>
      <c r="J2555" s="4"/>
      <c r="K2555" s="4"/>
      <c r="L2555" s="4"/>
      <c r="M2555" s="4"/>
      <c r="N2555" s="4"/>
      <c r="O2555" s="6"/>
    </row>
    <row r="2556" spans="2:15" s="46" customFormat="1">
      <c r="B2556" s="3"/>
      <c r="C2556" s="3"/>
      <c r="G2556" s="4"/>
      <c r="H2556" s="4"/>
      <c r="I2556" s="4"/>
      <c r="J2556" s="4"/>
      <c r="K2556" s="4"/>
      <c r="L2556" s="4"/>
      <c r="M2556" s="4"/>
      <c r="N2556" s="4"/>
      <c r="O2556" s="6"/>
    </row>
    <row r="2557" spans="2:15" s="46" customFormat="1">
      <c r="B2557" s="3"/>
      <c r="C2557" s="3"/>
      <c r="G2557" s="4"/>
      <c r="H2557" s="4"/>
      <c r="I2557" s="4"/>
      <c r="J2557" s="4"/>
      <c r="K2557" s="4"/>
      <c r="L2557" s="4"/>
      <c r="M2557" s="4"/>
      <c r="N2557" s="4"/>
      <c r="O2557" s="6"/>
    </row>
    <row r="2558" spans="2:15" s="46" customFormat="1">
      <c r="B2558" s="3"/>
      <c r="C2558" s="3"/>
      <c r="G2558" s="4"/>
      <c r="H2558" s="4"/>
      <c r="I2558" s="4"/>
      <c r="J2558" s="4"/>
      <c r="K2558" s="4"/>
      <c r="L2558" s="4"/>
      <c r="M2558" s="4"/>
      <c r="N2558" s="4"/>
      <c r="O2558" s="6"/>
    </row>
    <row r="2559" spans="2:15" s="46" customFormat="1">
      <c r="B2559" s="3"/>
      <c r="C2559" s="3"/>
      <c r="G2559" s="4"/>
      <c r="H2559" s="4"/>
      <c r="I2559" s="4"/>
      <c r="J2559" s="4"/>
      <c r="K2559" s="4"/>
      <c r="L2559" s="4"/>
      <c r="M2559" s="4"/>
      <c r="N2559" s="4"/>
      <c r="O2559" s="6"/>
    </row>
    <row r="2560" spans="2:15" s="46" customFormat="1">
      <c r="B2560" s="3"/>
      <c r="C2560" s="3"/>
      <c r="G2560" s="4"/>
      <c r="H2560" s="4"/>
      <c r="I2560" s="4"/>
      <c r="J2560" s="4"/>
      <c r="K2560" s="4"/>
      <c r="L2560" s="4"/>
      <c r="M2560" s="4"/>
      <c r="N2560" s="4"/>
      <c r="O2560" s="6"/>
    </row>
    <row r="2561" spans="2:15" s="46" customFormat="1">
      <c r="B2561" s="3"/>
      <c r="C2561" s="3"/>
      <c r="G2561" s="4"/>
      <c r="H2561" s="4"/>
      <c r="I2561" s="4"/>
      <c r="J2561" s="4"/>
      <c r="K2561" s="4"/>
      <c r="L2561" s="4"/>
      <c r="M2561" s="4"/>
      <c r="N2561" s="4"/>
      <c r="O2561" s="6"/>
    </row>
    <row r="2562" spans="2:15" s="46" customFormat="1">
      <c r="B2562" s="3"/>
      <c r="C2562" s="3"/>
      <c r="G2562" s="4"/>
      <c r="H2562" s="4"/>
      <c r="I2562" s="4"/>
      <c r="J2562" s="4"/>
      <c r="K2562" s="4"/>
      <c r="L2562" s="4"/>
      <c r="M2562" s="4"/>
      <c r="N2562" s="4"/>
      <c r="O2562" s="6"/>
    </row>
    <row r="2563" spans="2:15" s="46" customFormat="1">
      <c r="B2563" s="3"/>
      <c r="C2563" s="3"/>
      <c r="G2563" s="4"/>
      <c r="H2563" s="4"/>
      <c r="I2563" s="4"/>
      <c r="J2563" s="4"/>
      <c r="K2563" s="4"/>
      <c r="L2563" s="4"/>
      <c r="M2563" s="4"/>
      <c r="N2563" s="4"/>
      <c r="O2563" s="6"/>
    </row>
    <row r="2564" spans="2:15" s="46" customFormat="1">
      <c r="B2564" s="3"/>
      <c r="C2564" s="3"/>
      <c r="G2564" s="4"/>
      <c r="H2564" s="4"/>
      <c r="I2564" s="4"/>
      <c r="J2564" s="4"/>
      <c r="K2564" s="4"/>
      <c r="L2564" s="4"/>
      <c r="M2564" s="4"/>
      <c r="N2564" s="4"/>
      <c r="O2564" s="6"/>
    </row>
    <row r="2565" spans="2:15" s="46" customFormat="1">
      <c r="B2565" s="3"/>
      <c r="C2565" s="3"/>
      <c r="G2565" s="4"/>
      <c r="H2565" s="4"/>
      <c r="I2565" s="4"/>
      <c r="J2565" s="4"/>
      <c r="K2565" s="4"/>
      <c r="L2565" s="4"/>
      <c r="M2565" s="4"/>
      <c r="N2565" s="4"/>
      <c r="O2565" s="6"/>
    </row>
    <row r="2566" spans="2:15" s="46" customFormat="1">
      <c r="B2566" s="3"/>
      <c r="C2566" s="3"/>
      <c r="G2566" s="4"/>
      <c r="H2566" s="4"/>
      <c r="I2566" s="4"/>
      <c r="J2566" s="4"/>
      <c r="K2566" s="4"/>
      <c r="L2566" s="4"/>
      <c r="M2566" s="4"/>
      <c r="N2566" s="4"/>
      <c r="O2566" s="6"/>
    </row>
    <row r="2567" spans="2:15" s="46" customFormat="1">
      <c r="B2567" s="3"/>
      <c r="C2567" s="3"/>
      <c r="G2567" s="4"/>
      <c r="H2567" s="4"/>
      <c r="I2567" s="4"/>
      <c r="J2567" s="4"/>
      <c r="K2567" s="4"/>
      <c r="L2567" s="4"/>
      <c r="M2567" s="4"/>
      <c r="N2567" s="4"/>
      <c r="O2567" s="6"/>
    </row>
    <row r="2568" spans="2:15" s="46" customFormat="1">
      <c r="B2568" s="3"/>
      <c r="C2568" s="3"/>
      <c r="G2568" s="4"/>
      <c r="H2568" s="4"/>
      <c r="I2568" s="4"/>
      <c r="J2568" s="4"/>
      <c r="K2568" s="4"/>
      <c r="L2568" s="4"/>
      <c r="M2568" s="4"/>
      <c r="N2568" s="4"/>
      <c r="O2568" s="6"/>
    </row>
    <row r="2569" spans="2:15" s="46" customFormat="1">
      <c r="B2569" s="3"/>
      <c r="C2569" s="3"/>
      <c r="G2569" s="4"/>
      <c r="H2569" s="4"/>
      <c r="I2569" s="4"/>
      <c r="J2569" s="4"/>
      <c r="K2569" s="4"/>
      <c r="L2569" s="4"/>
      <c r="M2569" s="4"/>
      <c r="N2569" s="4"/>
      <c r="O2569" s="6"/>
    </row>
    <row r="2570" spans="2:15" s="46" customFormat="1">
      <c r="B2570" s="3"/>
      <c r="C2570" s="3"/>
      <c r="G2570" s="4"/>
      <c r="H2570" s="4"/>
      <c r="I2570" s="4"/>
      <c r="J2570" s="4"/>
      <c r="K2570" s="4"/>
      <c r="L2570" s="4"/>
      <c r="M2570" s="4"/>
      <c r="N2570" s="4"/>
      <c r="O2570" s="6"/>
    </row>
    <row r="2571" spans="2:15" s="46" customFormat="1">
      <c r="B2571" s="3"/>
      <c r="C2571" s="3"/>
      <c r="G2571" s="4"/>
      <c r="H2571" s="4"/>
      <c r="I2571" s="4"/>
      <c r="J2571" s="4"/>
      <c r="K2571" s="4"/>
      <c r="L2571" s="4"/>
      <c r="M2571" s="4"/>
      <c r="N2571" s="4"/>
      <c r="O2571" s="6"/>
    </row>
    <row r="2572" spans="2:15" s="46" customFormat="1">
      <c r="B2572" s="3"/>
      <c r="C2572" s="3"/>
      <c r="G2572" s="4"/>
      <c r="H2572" s="4"/>
      <c r="I2572" s="4"/>
      <c r="J2572" s="4"/>
      <c r="K2572" s="4"/>
      <c r="L2572" s="4"/>
      <c r="M2572" s="4"/>
      <c r="N2572" s="4"/>
      <c r="O2572" s="6"/>
    </row>
    <row r="2573" spans="2:15" s="46" customFormat="1">
      <c r="B2573" s="3"/>
      <c r="C2573" s="3"/>
      <c r="G2573" s="4"/>
      <c r="H2573" s="4"/>
      <c r="I2573" s="4"/>
      <c r="J2573" s="4"/>
      <c r="K2573" s="4"/>
      <c r="L2573" s="4"/>
      <c r="M2573" s="4"/>
      <c r="N2573" s="4"/>
      <c r="O2573" s="6"/>
    </row>
    <row r="2574" spans="2:15" s="46" customFormat="1">
      <c r="B2574" s="3"/>
      <c r="C2574" s="3"/>
      <c r="G2574" s="4"/>
      <c r="H2574" s="4"/>
      <c r="I2574" s="4"/>
      <c r="J2574" s="4"/>
      <c r="K2574" s="4"/>
      <c r="L2574" s="4"/>
      <c r="M2574" s="4"/>
      <c r="N2574" s="4"/>
      <c r="O2574" s="6"/>
    </row>
    <row r="2575" spans="2:15" s="46" customFormat="1">
      <c r="B2575" s="3"/>
      <c r="C2575" s="3"/>
      <c r="G2575" s="4"/>
      <c r="H2575" s="4"/>
      <c r="I2575" s="4"/>
      <c r="J2575" s="4"/>
      <c r="K2575" s="4"/>
      <c r="L2575" s="4"/>
      <c r="M2575" s="4"/>
      <c r="N2575" s="4"/>
      <c r="O2575" s="6"/>
    </row>
    <row r="2576" spans="2:15" s="46" customFormat="1">
      <c r="B2576" s="3"/>
      <c r="C2576" s="3"/>
      <c r="G2576" s="4"/>
      <c r="H2576" s="4"/>
      <c r="I2576" s="4"/>
      <c r="J2576" s="4"/>
      <c r="K2576" s="4"/>
      <c r="L2576" s="4"/>
      <c r="M2576" s="4"/>
      <c r="N2576" s="4"/>
      <c r="O2576" s="6"/>
    </row>
    <row r="2577" spans="2:15" s="46" customFormat="1">
      <c r="B2577" s="3"/>
      <c r="C2577" s="3"/>
      <c r="G2577" s="4"/>
      <c r="H2577" s="4"/>
      <c r="I2577" s="4"/>
      <c r="J2577" s="4"/>
      <c r="K2577" s="4"/>
      <c r="L2577" s="4"/>
      <c r="M2577" s="4"/>
      <c r="N2577" s="4"/>
      <c r="O2577" s="6"/>
    </row>
    <row r="2578" spans="2:15" s="46" customFormat="1">
      <c r="B2578" s="3"/>
      <c r="C2578" s="3"/>
      <c r="G2578" s="4"/>
      <c r="H2578" s="4"/>
      <c r="I2578" s="4"/>
      <c r="J2578" s="4"/>
      <c r="K2578" s="4"/>
      <c r="L2578" s="4"/>
      <c r="M2578" s="4"/>
      <c r="N2578" s="4"/>
      <c r="O2578" s="6"/>
    </row>
    <row r="2579" spans="2:15" s="46" customFormat="1">
      <c r="B2579" s="3"/>
      <c r="C2579" s="3"/>
      <c r="G2579" s="4"/>
      <c r="H2579" s="4"/>
      <c r="I2579" s="4"/>
      <c r="J2579" s="4"/>
      <c r="K2579" s="4"/>
      <c r="L2579" s="4"/>
      <c r="M2579" s="4"/>
      <c r="N2579" s="4"/>
      <c r="O2579" s="6"/>
    </row>
    <row r="2580" spans="2:15" s="46" customFormat="1">
      <c r="B2580" s="3"/>
      <c r="C2580" s="3"/>
      <c r="G2580" s="4"/>
      <c r="H2580" s="4"/>
      <c r="I2580" s="4"/>
      <c r="J2580" s="4"/>
      <c r="K2580" s="4"/>
      <c r="L2580" s="4"/>
      <c r="M2580" s="4"/>
      <c r="N2580" s="4"/>
      <c r="O2580" s="6"/>
    </row>
    <row r="2581" spans="2:15" s="46" customFormat="1">
      <c r="B2581" s="3"/>
      <c r="C2581" s="3"/>
      <c r="G2581" s="4"/>
      <c r="H2581" s="4"/>
      <c r="I2581" s="4"/>
      <c r="J2581" s="4"/>
      <c r="K2581" s="4"/>
      <c r="L2581" s="4"/>
      <c r="M2581" s="4"/>
      <c r="N2581" s="4"/>
      <c r="O2581" s="6"/>
    </row>
    <row r="2582" spans="2:15" s="46" customFormat="1">
      <c r="B2582" s="3"/>
      <c r="C2582" s="3"/>
      <c r="G2582" s="4"/>
      <c r="H2582" s="4"/>
      <c r="I2582" s="4"/>
      <c r="J2582" s="4"/>
      <c r="K2582" s="4"/>
      <c r="L2582" s="4"/>
      <c r="M2582" s="4"/>
      <c r="N2582" s="4"/>
      <c r="O2582" s="6"/>
    </row>
    <row r="2583" spans="2:15" s="46" customFormat="1">
      <c r="B2583" s="3"/>
      <c r="C2583" s="3"/>
      <c r="G2583" s="4"/>
      <c r="H2583" s="4"/>
      <c r="I2583" s="4"/>
      <c r="J2583" s="4"/>
      <c r="K2583" s="4"/>
      <c r="L2583" s="4"/>
      <c r="M2583" s="4"/>
      <c r="N2583" s="4"/>
      <c r="O2583" s="6"/>
    </row>
    <row r="2584" spans="2:15" s="46" customFormat="1">
      <c r="B2584" s="3"/>
      <c r="C2584" s="3"/>
      <c r="G2584" s="4"/>
      <c r="H2584" s="4"/>
      <c r="I2584" s="4"/>
      <c r="J2584" s="4"/>
      <c r="K2584" s="4"/>
      <c r="L2584" s="4"/>
      <c r="M2584" s="4"/>
      <c r="N2584" s="4"/>
      <c r="O2584" s="6"/>
    </row>
    <row r="2585" spans="2:15" s="46" customFormat="1">
      <c r="B2585" s="3"/>
      <c r="C2585" s="3"/>
      <c r="G2585" s="4"/>
      <c r="H2585" s="4"/>
      <c r="I2585" s="4"/>
      <c r="J2585" s="4"/>
      <c r="K2585" s="4"/>
      <c r="L2585" s="4"/>
      <c r="M2585" s="4"/>
      <c r="N2585" s="4"/>
      <c r="O2585" s="6"/>
    </row>
    <row r="2586" spans="2:15" s="46" customFormat="1">
      <c r="B2586" s="3"/>
      <c r="C2586" s="3"/>
      <c r="G2586" s="4"/>
      <c r="H2586" s="4"/>
      <c r="I2586" s="4"/>
      <c r="J2586" s="4"/>
      <c r="K2586" s="4"/>
      <c r="L2586" s="4"/>
      <c r="M2586" s="4"/>
      <c r="N2586" s="4"/>
      <c r="O2586" s="6"/>
    </row>
    <row r="2587" spans="2:15" s="46" customFormat="1">
      <c r="B2587" s="3"/>
      <c r="C2587" s="3"/>
      <c r="G2587" s="4"/>
      <c r="H2587" s="4"/>
      <c r="I2587" s="4"/>
      <c r="J2587" s="4"/>
      <c r="K2587" s="4"/>
      <c r="L2587" s="4"/>
      <c r="M2587" s="4"/>
      <c r="N2587" s="4"/>
      <c r="O2587" s="6"/>
    </row>
    <row r="2588" spans="2:15" s="46" customFormat="1">
      <c r="B2588" s="3"/>
      <c r="C2588" s="3"/>
      <c r="G2588" s="4"/>
      <c r="H2588" s="4"/>
      <c r="I2588" s="4"/>
      <c r="J2588" s="4"/>
      <c r="K2588" s="4"/>
      <c r="L2588" s="4"/>
      <c r="M2588" s="4"/>
      <c r="N2588" s="4"/>
      <c r="O2588" s="6"/>
    </row>
    <row r="2589" spans="2:15" s="46" customFormat="1">
      <c r="B2589" s="3"/>
      <c r="C2589" s="3"/>
      <c r="G2589" s="4"/>
      <c r="H2589" s="4"/>
      <c r="I2589" s="4"/>
      <c r="J2589" s="4"/>
      <c r="K2589" s="4"/>
      <c r="L2589" s="4"/>
      <c r="M2589" s="4"/>
      <c r="N2589" s="4"/>
      <c r="O2589" s="6"/>
    </row>
    <row r="2590" spans="2:15" s="46" customFormat="1">
      <c r="B2590" s="3"/>
      <c r="C2590" s="3"/>
      <c r="G2590" s="4"/>
      <c r="H2590" s="4"/>
      <c r="I2590" s="4"/>
      <c r="J2590" s="4"/>
      <c r="K2590" s="4"/>
      <c r="L2590" s="4"/>
      <c r="M2590" s="4"/>
      <c r="N2590" s="4"/>
      <c r="O2590" s="6"/>
    </row>
    <row r="2591" spans="2:15" s="46" customFormat="1">
      <c r="B2591" s="3"/>
      <c r="C2591" s="3"/>
      <c r="G2591" s="4"/>
      <c r="H2591" s="4"/>
      <c r="I2591" s="4"/>
      <c r="J2591" s="4"/>
      <c r="K2591" s="4"/>
      <c r="L2591" s="4"/>
      <c r="M2591" s="4"/>
      <c r="N2591" s="4"/>
      <c r="O2591" s="6"/>
    </row>
    <row r="2592" spans="2:15" s="46" customFormat="1">
      <c r="B2592" s="3"/>
      <c r="C2592" s="3"/>
      <c r="G2592" s="4"/>
      <c r="H2592" s="4"/>
      <c r="I2592" s="4"/>
      <c r="J2592" s="4"/>
      <c r="K2592" s="4"/>
      <c r="L2592" s="4"/>
      <c r="M2592" s="4"/>
      <c r="N2592" s="4"/>
      <c r="O2592" s="6"/>
    </row>
    <row r="2593" spans="2:15" s="46" customFormat="1">
      <c r="B2593" s="3"/>
      <c r="C2593" s="3"/>
      <c r="G2593" s="4"/>
      <c r="H2593" s="4"/>
      <c r="I2593" s="4"/>
      <c r="J2593" s="4"/>
      <c r="K2593" s="4"/>
      <c r="L2593" s="4"/>
      <c r="M2593" s="4"/>
      <c r="N2593" s="4"/>
      <c r="O2593" s="6"/>
    </row>
    <row r="2594" spans="2:15" s="46" customFormat="1">
      <c r="B2594" s="3"/>
      <c r="C2594" s="3"/>
      <c r="G2594" s="4"/>
      <c r="H2594" s="4"/>
      <c r="I2594" s="4"/>
      <c r="J2594" s="4"/>
      <c r="K2594" s="4"/>
      <c r="L2594" s="4"/>
      <c r="M2594" s="4"/>
      <c r="N2594" s="4"/>
      <c r="O2594" s="6"/>
    </row>
    <row r="2595" spans="2:15" s="46" customFormat="1">
      <c r="B2595" s="3"/>
      <c r="C2595" s="3"/>
      <c r="G2595" s="4"/>
      <c r="H2595" s="4"/>
      <c r="I2595" s="4"/>
      <c r="J2595" s="4"/>
      <c r="K2595" s="4"/>
      <c r="L2595" s="4"/>
      <c r="M2595" s="4"/>
      <c r="N2595" s="4"/>
      <c r="O2595" s="6"/>
    </row>
    <row r="2596" spans="2:15" s="46" customFormat="1">
      <c r="B2596" s="3"/>
      <c r="C2596" s="3"/>
      <c r="G2596" s="4"/>
      <c r="H2596" s="4"/>
      <c r="I2596" s="4"/>
      <c r="J2596" s="4"/>
      <c r="K2596" s="4"/>
      <c r="L2596" s="4"/>
      <c r="M2596" s="4"/>
      <c r="N2596" s="4"/>
      <c r="O2596" s="6"/>
    </row>
    <row r="2597" spans="2:15" s="46" customFormat="1">
      <c r="B2597" s="3"/>
      <c r="C2597" s="3"/>
      <c r="G2597" s="4"/>
      <c r="H2597" s="4"/>
      <c r="I2597" s="4"/>
      <c r="J2597" s="4"/>
      <c r="K2597" s="4"/>
      <c r="L2597" s="4"/>
      <c r="M2597" s="4"/>
      <c r="N2597" s="4"/>
      <c r="O2597" s="6"/>
    </row>
    <row r="2598" spans="2:15" s="46" customFormat="1">
      <c r="B2598" s="3"/>
      <c r="C2598" s="3"/>
      <c r="G2598" s="4"/>
      <c r="H2598" s="4"/>
      <c r="I2598" s="4"/>
      <c r="J2598" s="4"/>
      <c r="K2598" s="4"/>
      <c r="L2598" s="4"/>
      <c r="M2598" s="4"/>
      <c r="N2598" s="4"/>
      <c r="O2598" s="6"/>
    </row>
    <row r="2599" spans="2:15" s="46" customFormat="1">
      <c r="B2599" s="3"/>
      <c r="C2599" s="3"/>
      <c r="G2599" s="4"/>
      <c r="H2599" s="4"/>
      <c r="I2599" s="4"/>
      <c r="J2599" s="4"/>
      <c r="K2599" s="4"/>
      <c r="L2599" s="4"/>
      <c r="M2599" s="4"/>
      <c r="N2599" s="4"/>
      <c r="O2599" s="6"/>
    </row>
    <row r="2600" spans="2:15" s="46" customFormat="1">
      <c r="B2600" s="3"/>
      <c r="C2600" s="3"/>
      <c r="G2600" s="4"/>
      <c r="H2600" s="4"/>
      <c r="I2600" s="4"/>
      <c r="J2600" s="4"/>
      <c r="K2600" s="4"/>
      <c r="L2600" s="4"/>
      <c r="M2600" s="4"/>
      <c r="N2600" s="4"/>
      <c r="O2600" s="6"/>
    </row>
    <row r="2601" spans="2:15" s="46" customFormat="1">
      <c r="B2601" s="3"/>
      <c r="C2601" s="3"/>
      <c r="G2601" s="4"/>
      <c r="H2601" s="4"/>
      <c r="I2601" s="4"/>
      <c r="J2601" s="4"/>
      <c r="K2601" s="4"/>
      <c r="L2601" s="4"/>
      <c r="M2601" s="4"/>
      <c r="N2601" s="4"/>
      <c r="O2601" s="6"/>
    </row>
    <row r="2602" spans="2:15" s="46" customFormat="1">
      <c r="B2602" s="3"/>
      <c r="C2602" s="3"/>
      <c r="G2602" s="4"/>
      <c r="H2602" s="4"/>
      <c r="I2602" s="4"/>
      <c r="J2602" s="4"/>
      <c r="K2602" s="4"/>
      <c r="L2602" s="4"/>
      <c r="M2602" s="4"/>
      <c r="N2602" s="4"/>
      <c r="O2602" s="6"/>
    </row>
    <row r="2603" spans="2:15" s="46" customFormat="1">
      <c r="B2603" s="3"/>
      <c r="C2603" s="3"/>
      <c r="G2603" s="4"/>
      <c r="H2603" s="4"/>
      <c r="I2603" s="4"/>
      <c r="J2603" s="4"/>
      <c r="K2603" s="4"/>
      <c r="L2603" s="4"/>
      <c r="M2603" s="4"/>
      <c r="N2603" s="4"/>
      <c r="O2603" s="6"/>
    </row>
    <row r="2604" spans="2:15" s="46" customFormat="1">
      <c r="B2604" s="3"/>
      <c r="C2604" s="3"/>
      <c r="G2604" s="4"/>
      <c r="H2604" s="4"/>
      <c r="I2604" s="4"/>
      <c r="J2604" s="4"/>
      <c r="K2604" s="4"/>
      <c r="L2604" s="4"/>
      <c r="M2604" s="4"/>
      <c r="N2604" s="4"/>
      <c r="O2604" s="6"/>
    </row>
    <row r="2605" spans="2:15" s="46" customFormat="1">
      <c r="B2605" s="3"/>
      <c r="C2605" s="3"/>
      <c r="G2605" s="4"/>
      <c r="H2605" s="4"/>
      <c r="I2605" s="4"/>
      <c r="J2605" s="4"/>
      <c r="K2605" s="4"/>
      <c r="L2605" s="4"/>
      <c r="M2605" s="4"/>
      <c r="N2605" s="4"/>
      <c r="O2605" s="6"/>
    </row>
    <row r="2606" spans="2:15" s="46" customFormat="1">
      <c r="B2606" s="3"/>
      <c r="C2606" s="3"/>
      <c r="G2606" s="4"/>
      <c r="H2606" s="4"/>
      <c r="I2606" s="4"/>
      <c r="J2606" s="4"/>
      <c r="K2606" s="4"/>
      <c r="L2606" s="4"/>
      <c r="M2606" s="4"/>
      <c r="N2606" s="4"/>
      <c r="O2606" s="6"/>
    </row>
    <row r="2607" spans="2:15" s="46" customFormat="1">
      <c r="B2607" s="3"/>
      <c r="C2607" s="3"/>
      <c r="G2607" s="4"/>
      <c r="H2607" s="4"/>
      <c r="I2607" s="4"/>
      <c r="J2607" s="4"/>
      <c r="K2607" s="4"/>
      <c r="L2607" s="4"/>
      <c r="M2607" s="4"/>
      <c r="N2607" s="4"/>
      <c r="O2607" s="6"/>
    </row>
    <row r="2608" spans="2:15" s="46" customFormat="1">
      <c r="B2608" s="3"/>
      <c r="C2608" s="3"/>
      <c r="G2608" s="4"/>
      <c r="H2608" s="4"/>
      <c r="I2608" s="4"/>
      <c r="J2608" s="4"/>
      <c r="K2608" s="4"/>
      <c r="L2608" s="4"/>
      <c r="M2608" s="4"/>
      <c r="N2608" s="4"/>
      <c r="O2608" s="6"/>
    </row>
    <row r="2609" spans="2:15" s="46" customFormat="1">
      <c r="B2609" s="3"/>
      <c r="C2609" s="3"/>
      <c r="G2609" s="4"/>
      <c r="H2609" s="4"/>
      <c r="I2609" s="4"/>
      <c r="J2609" s="4"/>
      <c r="K2609" s="4"/>
      <c r="L2609" s="4"/>
      <c r="M2609" s="4"/>
      <c r="N2609" s="4"/>
      <c r="O2609" s="6"/>
    </row>
    <row r="2610" spans="2:15" s="46" customFormat="1">
      <c r="B2610" s="3"/>
      <c r="C2610" s="3"/>
      <c r="G2610" s="4"/>
      <c r="H2610" s="4"/>
      <c r="I2610" s="4"/>
      <c r="J2610" s="4"/>
      <c r="K2610" s="4"/>
      <c r="L2610" s="4"/>
      <c r="M2610" s="4"/>
      <c r="N2610" s="4"/>
      <c r="O2610" s="6"/>
    </row>
    <row r="2611" spans="2:15" s="46" customFormat="1">
      <c r="B2611" s="3"/>
      <c r="C2611" s="3"/>
      <c r="G2611" s="4"/>
      <c r="H2611" s="4"/>
      <c r="I2611" s="4"/>
      <c r="J2611" s="4"/>
      <c r="K2611" s="4"/>
      <c r="L2611" s="4"/>
      <c r="M2611" s="4"/>
      <c r="N2611" s="4"/>
      <c r="O2611" s="6"/>
    </row>
    <row r="2612" spans="2:15" s="46" customFormat="1">
      <c r="B2612" s="3"/>
      <c r="C2612" s="3"/>
      <c r="G2612" s="4"/>
      <c r="H2612" s="4"/>
      <c r="I2612" s="4"/>
      <c r="J2612" s="4"/>
      <c r="K2612" s="4"/>
      <c r="L2612" s="4"/>
      <c r="M2612" s="4"/>
      <c r="N2612" s="4"/>
      <c r="O2612" s="6"/>
    </row>
    <row r="2613" spans="2:15" s="46" customFormat="1">
      <c r="B2613" s="3"/>
      <c r="C2613" s="3"/>
      <c r="G2613" s="4"/>
      <c r="H2613" s="4"/>
      <c r="I2613" s="4"/>
      <c r="J2613" s="4"/>
      <c r="K2613" s="4"/>
      <c r="L2613" s="4"/>
      <c r="M2613" s="4"/>
      <c r="N2613" s="4"/>
      <c r="O2613" s="6"/>
    </row>
    <row r="2614" spans="2:15" s="46" customFormat="1">
      <c r="B2614" s="3"/>
      <c r="C2614" s="3"/>
      <c r="G2614" s="4"/>
      <c r="H2614" s="4"/>
      <c r="I2614" s="4"/>
      <c r="J2614" s="4"/>
      <c r="K2614" s="4"/>
      <c r="L2614" s="4"/>
      <c r="M2614" s="4"/>
      <c r="N2614" s="4"/>
      <c r="O2614" s="6"/>
    </row>
    <row r="2615" spans="2:15" s="46" customFormat="1">
      <c r="B2615" s="3"/>
      <c r="C2615" s="3"/>
      <c r="G2615" s="4"/>
      <c r="H2615" s="4"/>
      <c r="I2615" s="4"/>
      <c r="J2615" s="4"/>
      <c r="K2615" s="4"/>
      <c r="L2615" s="4"/>
      <c r="M2615" s="4"/>
      <c r="N2615" s="4"/>
      <c r="O2615" s="6"/>
    </row>
    <row r="2616" spans="2:15" s="46" customFormat="1">
      <c r="B2616" s="3"/>
      <c r="C2616" s="3"/>
      <c r="G2616" s="4"/>
      <c r="H2616" s="4"/>
      <c r="I2616" s="4"/>
      <c r="J2616" s="4"/>
      <c r="K2616" s="4"/>
      <c r="L2616" s="4"/>
      <c r="M2616" s="4"/>
      <c r="N2616" s="4"/>
      <c r="O2616" s="6"/>
    </row>
    <row r="2617" spans="2:15" s="46" customFormat="1">
      <c r="B2617" s="3"/>
      <c r="C2617" s="3"/>
      <c r="G2617" s="4"/>
      <c r="H2617" s="4"/>
      <c r="I2617" s="4"/>
      <c r="J2617" s="4"/>
      <c r="K2617" s="4"/>
      <c r="L2617" s="4"/>
      <c r="M2617" s="4"/>
      <c r="N2617" s="4"/>
      <c r="O2617" s="6"/>
    </row>
    <row r="2618" spans="2:15" s="46" customFormat="1">
      <c r="B2618" s="3"/>
      <c r="C2618" s="3"/>
      <c r="G2618" s="4"/>
      <c r="H2618" s="4"/>
      <c r="I2618" s="4"/>
      <c r="J2618" s="4"/>
      <c r="K2618" s="4"/>
      <c r="L2618" s="4"/>
      <c r="M2618" s="4"/>
      <c r="N2618" s="4"/>
      <c r="O2618" s="6"/>
    </row>
    <row r="2619" spans="2:15" s="46" customFormat="1">
      <c r="B2619" s="3"/>
      <c r="C2619" s="3"/>
      <c r="G2619" s="4"/>
      <c r="H2619" s="4"/>
      <c r="I2619" s="4"/>
      <c r="J2619" s="4"/>
      <c r="K2619" s="4"/>
      <c r="L2619" s="4"/>
      <c r="M2619" s="4"/>
      <c r="N2619" s="4"/>
      <c r="O2619" s="6"/>
    </row>
    <row r="2620" spans="2:15" s="46" customFormat="1">
      <c r="B2620" s="3"/>
      <c r="C2620" s="3"/>
      <c r="G2620" s="4"/>
      <c r="H2620" s="4"/>
      <c r="I2620" s="4"/>
      <c r="J2620" s="4"/>
      <c r="K2620" s="4"/>
      <c r="L2620" s="4"/>
      <c r="M2620" s="4"/>
      <c r="N2620" s="4"/>
      <c r="O2620" s="6"/>
    </row>
    <row r="2621" spans="2:15" s="46" customFormat="1">
      <c r="B2621" s="3"/>
      <c r="C2621" s="3"/>
      <c r="G2621" s="4"/>
      <c r="H2621" s="4"/>
      <c r="I2621" s="4"/>
      <c r="J2621" s="4"/>
      <c r="K2621" s="4"/>
      <c r="L2621" s="4"/>
      <c r="M2621" s="4"/>
      <c r="N2621" s="4"/>
      <c r="O2621" s="6"/>
    </row>
    <row r="2622" spans="2:15" s="46" customFormat="1">
      <c r="B2622" s="3"/>
      <c r="C2622" s="3"/>
      <c r="G2622" s="4"/>
      <c r="H2622" s="4"/>
      <c r="I2622" s="4"/>
      <c r="J2622" s="4"/>
      <c r="K2622" s="4"/>
      <c r="L2622" s="4"/>
      <c r="M2622" s="4"/>
      <c r="N2622" s="4"/>
      <c r="O2622" s="6"/>
    </row>
    <row r="2623" spans="2:15" s="46" customFormat="1">
      <c r="B2623" s="3"/>
      <c r="C2623" s="3"/>
      <c r="G2623" s="4"/>
      <c r="H2623" s="4"/>
      <c r="I2623" s="4"/>
      <c r="J2623" s="4"/>
      <c r="K2623" s="4"/>
      <c r="L2623" s="4"/>
      <c r="M2623" s="4"/>
      <c r="N2623" s="4"/>
      <c r="O2623" s="6"/>
    </row>
    <row r="2624" spans="2:15" s="46" customFormat="1">
      <c r="B2624" s="3"/>
      <c r="C2624" s="3"/>
      <c r="G2624" s="4"/>
      <c r="H2624" s="4"/>
      <c r="I2624" s="4"/>
      <c r="J2624" s="4"/>
      <c r="K2624" s="4"/>
      <c r="L2624" s="4"/>
      <c r="M2624" s="4"/>
      <c r="N2624" s="4"/>
      <c r="O2624" s="6"/>
    </row>
    <row r="2625" spans="2:15" s="46" customFormat="1">
      <c r="B2625" s="3"/>
      <c r="C2625" s="3"/>
      <c r="G2625" s="4"/>
      <c r="H2625" s="4"/>
      <c r="I2625" s="4"/>
      <c r="J2625" s="4"/>
      <c r="K2625" s="4"/>
      <c r="L2625" s="4"/>
      <c r="M2625" s="4"/>
      <c r="N2625" s="4"/>
      <c r="O2625" s="6"/>
    </row>
    <row r="2626" spans="2:15" s="46" customFormat="1">
      <c r="B2626" s="3"/>
      <c r="C2626" s="3"/>
      <c r="G2626" s="4"/>
      <c r="H2626" s="4"/>
      <c r="I2626" s="4"/>
      <c r="J2626" s="4"/>
      <c r="K2626" s="4"/>
      <c r="L2626" s="4"/>
      <c r="M2626" s="4"/>
      <c r="N2626" s="4"/>
      <c r="O2626" s="6"/>
    </row>
    <row r="2627" spans="2:15" s="46" customFormat="1">
      <c r="B2627" s="3"/>
      <c r="C2627" s="3"/>
      <c r="G2627" s="4"/>
      <c r="H2627" s="4"/>
      <c r="I2627" s="4"/>
      <c r="J2627" s="4"/>
      <c r="K2627" s="4"/>
      <c r="L2627" s="4"/>
      <c r="M2627" s="4"/>
      <c r="N2627" s="4"/>
      <c r="O2627" s="6"/>
    </row>
    <row r="2628" spans="2:15" s="46" customFormat="1">
      <c r="B2628" s="3"/>
      <c r="C2628" s="3"/>
      <c r="G2628" s="4"/>
      <c r="H2628" s="4"/>
      <c r="I2628" s="4"/>
      <c r="J2628" s="4"/>
      <c r="K2628" s="4"/>
      <c r="L2628" s="4"/>
      <c r="M2628" s="4"/>
      <c r="N2628" s="4"/>
      <c r="O2628" s="6"/>
    </row>
    <row r="2629" spans="2:15" s="46" customFormat="1">
      <c r="B2629" s="3"/>
      <c r="C2629" s="3"/>
      <c r="G2629" s="4"/>
      <c r="H2629" s="4"/>
      <c r="I2629" s="4"/>
      <c r="J2629" s="4"/>
      <c r="K2629" s="4"/>
      <c r="L2629" s="4"/>
      <c r="M2629" s="4"/>
      <c r="N2629" s="4"/>
      <c r="O2629" s="6"/>
    </row>
    <row r="2630" spans="2:15" s="46" customFormat="1">
      <c r="B2630" s="3"/>
      <c r="C2630" s="3"/>
      <c r="G2630" s="4"/>
      <c r="H2630" s="4"/>
      <c r="I2630" s="4"/>
      <c r="J2630" s="4"/>
      <c r="K2630" s="4"/>
      <c r="L2630" s="4"/>
      <c r="M2630" s="4"/>
      <c r="N2630" s="4"/>
      <c r="O2630" s="6"/>
    </row>
    <row r="2631" spans="2:15" s="46" customFormat="1">
      <c r="B2631" s="3"/>
      <c r="C2631" s="3"/>
      <c r="G2631" s="4"/>
      <c r="H2631" s="4"/>
      <c r="I2631" s="4"/>
      <c r="J2631" s="4"/>
      <c r="K2631" s="4"/>
      <c r="L2631" s="4"/>
      <c r="M2631" s="4"/>
      <c r="N2631" s="4"/>
      <c r="O2631" s="6"/>
    </row>
    <row r="2632" spans="2:15" s="46" customFormat="1">
      <c r="B2632" s="3"/>
      <c r="C2632" s="3"/>
      <c r="G2632" s="4"/>
      <c r="H2632" s="4"/>
      <c r="I2632" s="4"/>
      <c r="J2632" s="4"/>
      <c r="K2632" s="4"/>
      <c r="L2632" s="4"/>
      <c r="M2632" s="4"/>
      <c r="N2632" s="4"/>
      <c r="O2632" s="6"/>
    </row>
    <row r="2633" spans="2:15" s="46" customFormat="1">
      <c r="B2633" s="3"/>
      <c r="C2633" s="3"/>
      <c r="G2633" s="4"/>
      <c r="H2633" s="4"/>
      <c r="I2633" s="4"/>
      <c r="J2633" s="4"/>
      <c r="K2633" s="4"/>
      <c r="L2633" s="4"/>
      <c r="M2633" s="4"/>
      <c r="N2633" s="4"/>
      <c r="O2633" s="6"/>
    </row>
    <row r="2634" spans="2:15" s="46" customFormat="1">
      <c r="B2634" s="3"/>
      <c r="C2634" s="3"/>
      <c r="G2634" s="4"/>
      <c r="H2634" s="4"/>
      <c r="I2634" s="4"/>
      <c r="J2634" s="4"/>
      <c r="K2634" s="4"/>
      <c r="L2634" s="4"/>
      <c r="M2634" s="4"/>
      <c r="N2634" s="4"/>
      <c r="O2634" s="6"/>
    </row>
    <row r="2635" spans="2:15" s="46" customFormat="1">
      <c r="B2635" s="3"/>
      <c r="C2635" s="3"/>
      <c r="G2635" s="4"/>
      <c r="H2635" s="4"/>
      <c r="I2635" s="4"/>
      <c r="J2635" s="4"/>
      <c r="K2635" s="4"/>
      <c r="L2635" s="4"/>
      <c r="M2635" s="4"/>
      <c r="N2635" s="4"/>
      <c r="O2635" s="6"/>
    </row>
    <row r="2636" spans="2:15" s="46" customFormat="1">
      <c r="B2636" s="3"/>
      <c r="C2636" s="3"/>
      <c r="G2636" s="4"/>
      <c r="H2636" s="4"/>
      <c r="I2636" s="4"/>
      <c r="J2636" s="4"/>
      <c r="K2636" s="4"/>
      <c r="L2636" s="4"/>
      <c r="M2636" s="4"/>
      <c r="N2636" s="4"/>
      <c r="O2636" s="6"/>
    </row>
    <row r="2637" spans="2:15" s="46" customFormat="1">
      <c r="B2637" s="3"/>
      <c r="C2637" s="3"/>
      <c r="G2637" s="4"/>
      <c r="H2637" s="4"/>
      <c r="I2637" s="4"/>
      <c r="J2637" s="4"/>
      <c r="K2637" s="4"/>
      <c r="L2637" s="4"/>
      <c r="M2637" s="4"/>
      <c r="N2637" s="4"/>
      <c r="O2637" s="6"/>
    </row>
    <row r="2638" spans="2:15" s="46" customFormat="1">
      <c r="B2638" s="3"/>
      <c r="C2638" s="3"/>
      <c r="G2638" s="4"/>
      <c r="H2638" s="4"/>
      <c r="I2638" s="4"/>
      <c r="J2638" s="4"/>
      <c r="K2638" s="4"/>
      <c r="L2638" s="4"/>
      <c r="M2638" s="4"/>
      <c r="N2638" s="4"/>
      <c r="O2638" s="6"/>
    </row>
    <row r="2639" spans="2:15" s="46" customFormat="1">
      <c r="B2639" s="3"/>
      <c r="C2639" s="3"/>
      <c r="G2639" s="4"/>
      <c r="H2639" s="4"/>
      <c r="I2639" s="4"/>
      <c r="J2639" s="4"/>
      <c r="K2639" s="4"/>
      <c r="L2639" s="4"/>
      <c r="M2639" s="4"/>
      <c r="N2639" s="4"/>
      <c r="O2639" s="6"/>
    </row>
    <row r="2640" spans="2:15" s="46" customFormat="1">
      <c r="B2640" s="3"/>
      <c r="C2640" s="3"/>
      <c r="G2640" s="4"/>
      <c r="H2640" s="4"/>
      <c r="I2640" s="4"/>
      <c r="J2640" s="4"/>
      <c r="K2640" s="4"/>
      <c r="L2640" s="4"/>
      <c r="M2640" s="4"/>
      <c r="N2640" s="4"/>
      <c r="O2640" s="6"/>
    </row>
    <row r="2641" spans="2:15" s="46" customFormat="1">
      <c r="B2641" s="3"/>
      <c r="C2641" s="3"/>
      <c r="G2641" s="4"/>
      <c r="H2641" s="4"/>
      <c r="I2641" s="4"/>
      <c r="J2641" s="4"/>
      <c r="K2641" s="4"/>
      <c r="L2641" s="4"/>
      <c r="M2641" s="4"/>
      <c r="N2641" s="4"/>
      <c r="O2641" s="6"/>
    </row>
    <row r="2642" spans="2:15" s="46" customFormat="1">
      <c r="B2642" s="3"/>
      <c r="C2642" s="3"/>
      <c r="G2642" s="4"/>
      <c r="H2642" s="4"/>
      <c r="I2642" s="4"/>
      <c r="J2642" s="4"/>
      <c r="K2642" s="4"/>
      <c r="L2642" s="4"/>
      <c r="M2642" s="4"/>
      <c r="N2642" s="4"/>
      <c r="O2642" s="6"/>
    </row>
    <row r="2643" spans="2:15" s="46" customFormat="1">
      <c r="B2643" s="3"/>
      <c r="C2643" s="3"/>
      <c r="G2643" s="4"/>
      <c r="H2643" s="4"/>
      <c r="I2643" s="4"/>
      <c r="J2643" s="4"/>
      <c r="K2643" s="4"/>
      <c r="L2643" s="4"/>
      <c r="M2643" s="4"/>
      <c r="N2643" s="4"/>
      <c r="O2643" s="6"/>
    </row>
    <row r="2644" spans="2:15" s="46" customFormat="1">
      <c r="B2644" s="3"/>
      <c r="C2644" s="3"/>
      <c r="G2644" s="4"/>
      <c r="H2644" s="4"/>
      <c r="I2644" s="4"/>
      <c r="J2644" s="4"/>
      <c r="K2644" s="4"/>
      <c r="L2644" s="4"/>
      <c r="M2644" s="4"/>
      <c r="N2644" s="4"/>
      <c r="O2644" s="6"/>
    </row>
    <row r="2645" spans="2:15" s="46" customFormat="1">
      <c r="B2645" s="3"/>
      <c r="C2645" s="3"/>
      <c r="G2645" s="4"/>
      <c r="H2645" s="4"/>
      <c r="I2645" s="4"/>
      <c r="J2645" s="4"/>
      <c r="K2645" s="4"/>
      <c r="L2645" s="4"/>
      <c r="M2645" s="4"/>
      <c r="N2645" s="4"/>
      <c r="O2645" s="6"/>
    </row>
    <row r="2646" spans="2:15" s="46" customFormat="1">
      <c r="B2646" s="3"/>
      <c r="C2646" s="3"/>
      <c r="G2646" s="4"/>
      <c r="H2646" s="4"/>
      <c r="I2646" s="4"/>
      <c r="J2646" s="4"/>
      <c r="K2646" s="4"/>
      <c r="L2646" s="4"/>
      <c r="M2646" s="4"/>
      <c r="N2646" s="4"/>
      <c r="O2646" s="6"/>
    </row>
    <row r="2647" spans="2:15" s="46" customFormat="1">
      <c r="B2647" s="3"/>
      <c r="C2647" s="3"/>
      <c r="G2647" s="4"/>
      <c r="H2647" s="4"/>
      <c r="I2647" s="4"/>
      <c r="J2647" s="4"/>
      <c r="K2647" s="4"/>
      <c r="L2647" s="4"/>
      <c r="M2647" s="4"/>
      <c r="N2647" s="4"/>
      <c r="O2647" s="6"/>
    </row>
    <row r="2648" spans="2:15" s="46" customFormat="1">
      <c r="B2648" s="3"/>
      <c r="C2648" s="3"/>
      <c r="G2648" s="4"/>
      <c r="H2648" s="4"/>
      <c r="I2648" s="4"/>
      <c r="J2648" s="4"/>
      <c r="K2648" s="4"/>
      <c r="L2648" s="4"/>
      <c r="M2648" s="4"/>
      <c r="N2648" s="4"/>
      <c r="O2648" s="6"/>
    </row>
    <row r="2649" spans="2:15" s="46" customFormat="1">
      <c r="B2649" s="3"/>
      <c r="C2649" s="3"/>
      <c r="G2649" s="4"/>
      <c r="H2649" s="4"/>
      <c r="I2649" s="4"/>
      <c r="J2649" s="4"/>
      <c r="K2649" s="4"/>
      <c r="L2649" s="4"/>
      <c r="M2649" s="4"/>
      <c r="N2649" s="4"/>
      <c r="O2649" s="6"/>
    </row>
    <row r="2650" spans="2:15" s="46" customFormat="1">
      <c r="B2650" s="3"/>
      <c r="C2650" s="3"/>
      <c r="G2650" s="4"/>
      <c r="H2650" s="4"/>
      <c r="I2650" s="4"/>
      <c r="J2650" s="4"/>
      <c r="K2650" s="4"/>
      <c r="L2650" s="4"/>
      <c r="M2650" s="4"/>
      <c r="N2650" s="4"/>
      <c r="O2650" s="6"/>
    </row>
    <row r="2651" spans="2:15" s="46" customFormat="1">
      <c r="B2651" s="3"/>
      <c r="C2651" s="3"/>
      <c r="G2651" s="4"/>
      <c r="H2651" s="4"/>
      <c r="I2651" s="4"/>
      <c r="J2651" s="4"/>
      <c r="K2651" s="4"/>
      <c r="L2651" s="4"/>
      <c r="M2651" s="4"/>
      <c r="N2651" s="4"/>
      <c r="O2651" s="6"/>
    </row>
    <row r="2652" spans="2:15" s="46" customFormat="1">
      <c r="B2652" s="3"/>
      <c r="C2652" s="3"/>
      <c r="G2652" s="4"/>
      <c r="H2652" s="4"/>
      <c r="I2652" s="4"/>
      <c r="J2652" s="4"/>
      <c r="K2652" s="4"/>
      <c r="L2652" s="4"/>
      <c r="M2652" s="4"/>
      <c r="N2652" s="4"/>
      <c r="O2652" s="6"/>
    </row>
    <row r="2653" spans="2:15" s="46" customFormat="1">
      <c r="B2653" s="3"/>
      <c r="C2653" s="3"/>
      <c r="G2653" s="4"/>
      <c r="H2653" s="4"/>
      <c r="I2653" s="4"/>
      <c r="J2653" s="4"/>
      <c r="K2653" s="4"/>
      <c r="L2653" s="4"/>
      <c r="M2653" s="4"/>
      <c r="N2653" s="4"/>
      <c r="O2653" s="6"/>
    </row>
    <row r="2654" spans="2:15" s="46" customFormat="1">
      <c r="B2654" s="3"/>
      <c r="C2654" s="3"/>
      <c r="G2654" s="4"/>
      <c r="H2654" s="4"/>
      <c r="I2654" s="4"/>
      <c r="J2654" s="4"/>
      <c r="K2654" s="4"/>
      <c r="L2654" s="4"/>
      <c r="M2654" s="4"/>
      <c r="N2654" s="4"/>
      <c r="O2654" s="6"/>
    </row>
    <row r="2655" spans="2:15" s="46" customFormat="1">
      <c r="B2655" s="3"/>
      <c r="C2655" s="3"/>
      <c r="G2655" s="4"/>
      <c r="H2655" s="4"/>
      <c r="I2655" s="4"/>
      <c r="J2655" s="4"/>
      <c r="K2655" s="4"/>
      <c r="L2655" s="4"/>
      <c r="M2655" s="4"/>
      <c r="N2655" s="4"/>
      <c r="O2655" s="6"/>
    </row>
    <row r="2656" spans="2:15" s="46" customFormat="1">
      <c r="B2656" s="3"/>
      <c r="C2656" s="3"/>
      <c r="G2656" s="4"/>
      <c r="H2656" s="4"/>
      <c r="I2656" s="4"/>
      <c r="J2656" s="4"/>
      <c r="K2656" s="4"/>
      <c r="L2656" s="4"/>
      <c r="M2656" s="4"/>
      <c r="N2656" s="4"/>
      <c r="O2656" s="6"/>
    </row>
    <row r="2657" spans="2:15" s="46" customFormat="1">
      <c r="B2657" s="3"/>
      <c r="C2657" s="3"/>
      <c r="G2657" s="4"/>
      <c r="H2657" s="4"/>
      <c r="I2657" s="4"/>
      <c r="J2657" s="4"/>
      <c r="K2657" s="4"/>
      <c r="L2657" s="4"/>
      <c r="M2657" s="4"/>
      <c r="N2657" s="4"/>
      <c r="O2657" s="6"/>
    </row>
    <row r="2658" spans="2:15" s="46" customFormat="1">
      <c r="B2658" s="3"/>
      <c r="C2658" s="3"/>
      <c r="G2658" s="4"/>
      <c r="H2658" s="4"/>
      <c r="I2658" s="4"/>
      <c r="J2658" s="4"/>
      <c r="K2658" s="4"/>
      <c r="L2658" s="4"/>
      <c r="M2658" s="4"/>
      <c r="N2658" s="4"/>
      <c r="O2658" s="6"/>
    </row>
    <row r="2659" spans="2:15" s="46" customFormat="1">
      <c r="B2659" s="3"/>
      <c r="C2659" s="3"/>
      <c r="G2659" s="4"/>
      <c r="H2659" s="4"/>
      <c r="I2659" s="4"/>
      <c r="J2659" s="4"/>
      <c r="K2659" s="4"/>
      <c r="L2659" s="4"/>
      <c r="M2659" s="4"/>
      <c r="N2659" s="4"/>
      <c r="O2659" s="6"/>
    </row>
    <row r="2660" spans="2:15" s="46" customFormat="1">
      <c r="B2660" s="3"/>
      <c r="C2660" s="3"/>
      <c r="G2660" s="4"/>
      <c r="H2660" s="4"/>
      <c r="I2660" s="4"/>
      <c r="J2660" s="4"/>
      <c r="K2660" s="4"/>
      <c r="L2660" s="4"/>
      <c r="M2660" s="4"/>
      <c r="N2660" s="4"/>
      <c r="O2660" s="6"/>
    </row>
    <row r="2661" spans="2:15" s="46" customFormat="1">
      <c r="B2661" s="3"/>
      <c r="C2661" s="3"/>
      <c r="G2661" s="4"/>
      <c r="H2661" s="4"/>
      <c r="I2661" s="4"/>
      <c r="J2661" s="4"/>
      <c r="K2661" s="4"/>
      <c r="L2661" s="4"/>
      <c r="M2661" s="4"/>
      <c r="N2661" s="4"/>
      <c r="O2661" s="6"/>
    </row>
    <row r="2662" spans="2:15" s="46" customFormat="1">
      <c r="B2662" s="3"/>
      <c r="C2662" s="3"/>
      <c r="G2662" s="4"/>
      <c r="H2662" s="4"/>
      <c r="I2662" s="4"/>
      <c r="J2662" s="4"/>
      <c r="K2662" s="4"/>
      <c r="L2662" s="4"/>
      <c r="M2662" s="4"/>
      <c r="N2662" s="4"/>
      <c r="O2662" s="6"/>
    </row>
    <row r="2663" spans="2:15" s="46" customFormat="1">
      <c r="B2663" s="3"/>
      <c r="C2663" s="3"/>
      <c r="G2663" s="4"/>
      <c r="H2663" s="4"/>
      <c r="I2663" s="4"/>
      <c r="J2663" s="4"/>
      <c r="K2663" s="4"/>
      <c r="L2663" s="4"/>
      <c r="M2663" s="4"/>
      <c r="N2663" s="4"/>
      <c r="O2663" s="6"/>
    </row>
    <row r="2664" spans="2:15" s="46" customFormat="1">
      <c r="B2664" s="3"/>
      <c r="C2664" s="3"/>
      <c r="G2664" s="4"/>
      <c r="H2664" s="4"/>
      <c r="I2664" s="4"/>
      <c r="J2664" s="4"/>
      <c r="K2664" s="4"/>
      <c r="L2664" s="4"/>
      <c r="M2664" s="4"/>
      <c r="N2664" s="4"/>
      <c r="O2664" s="6"/>
    </row>
    <row r="2665" spans="2:15" s="46" customFormat="1">
      <c r="B2665" s="3"/>
      <c r="C2665" s="3"/>
      <c r="G2665" s="4"/>
      <c r="H2665" s="4"/>
      <c r="I2665" s="4"/>
      <c r="J2665" s="4"/>
      <c r="K2665" s="4"/>
      <c r="L2665" s="4"/>
      <c r="M2665" s="4"/>
      <c r="N2665" s="4"/>
      <c r="O2665" s="6"/>
    </row>
    <row r="2666" spans="2:15" s="46" customFormat="1">
      <c r="B2666" s="3"/>
      <c r="C2666" s="3"/>
      <c r="G2666" s="4"/>
      <c r="H2666" s="4"/>
      <c r="I2666" s="4"/>
      <c r="J2666" s="4"/>
      <c r="K2666" s="4"/>
      <c r="L2666" s="4"/>
      <c r="M2666" s="4"/>
      <c r="N2666" s="4"/>
      <c r="O2666" s="6"/>
    </row>
    <row r="2667" spans="2:15" s="46" customFormat="1">
      <c r="B2667" s="3"/>
      <c r="C2667" s="3"/>
      <c r="G2667" s="4"/>
      <c r="H2667" s="4"/>
      <c r="I2667" s="4"/>
      <c r="J2667" s="4"/>
      <c r="K2667" s="4"/>
      <c r="L2667" s="4"/>
      <c r="M2667" s="4"/>
      <c r="N2667" s="4"/>
      <c r="O2667" s="6"/>
    </row>
    <row r="2668" spans="2:15" s="46" customFormat="1">
      <c r="B2668" s="3"/>
      <c r="C2668" s="3"/>
      <c r="G2668" s="4"/>
      <c r="H2668" s="4"/>
      <c r="I2668" s="4"/>
      <c r="J2668" s="4"/>
      <c r="K2668" s="4"/>
      <c r="L2668" s="4"/>
      <c r="M2668" s="4"/>
      <c r="N2668" s="4"/>
      <c r="O2668" s="6"/>
    </row>
    <row r="2669" spans="2:15" s="46" customFormat="1">
      <c r="B2669" s="3"/>
      <c r="C2669" s="3"/>
      <c r="G2669" s="4"/>
      <c r="H2669" s="4"/>
      <c r="I2669" s="4"/>
      <c r="J2669" s="4"/>
      <c r="K2669" s="4"/>
      <c r="L2669" s="4"/>
      <c r="M2669" s="4"/>
      <c r="N2669" s="4"/>
      <c r="O2669" s="6"/>
    </row>
    <row r="2670" spans="2:15" s="46" customFormat="1">
      <c r="B2670" s="3"/>
      <c r="C2670" s="3"/>
      <c r="G2670" s="4"/>
      <c r="H2670" s="4"/>
      <c r="I2670" s="4"/>
      <c r="J2670" s="4"/>
      <c r="K2670" s="4"/>
      <c r="L2670" s="4"/>
      <c r="M2670" s="4"/>
      <c r="N2670" s="4"/>
      <c r="O2670" s="6"/>
    </row>
    <row r="2671" spans="2:15" s="46" customFormat="1">
      <c r="B2671" s="3"/>
      <c r="C2671" s="3"/>
      <c r="G2671" s="4"/>
      <c r="H2671" s="4"/>
      <c r="I2671" s="4"/>
      <c r="J2671" s="4"/>
      <c r="K2671" s="4"/>
      <c r="L2671" s="4"/>
      <c r="M2671" s="4"/>
      <c r="N2671" s="4"/>
      <c r="O2671" s="6"/>
    </row>
    <row r="2672" spans="2:15" s="46" customFormat="1">
      <c r="B2672" s="3"/>
      <c r="C2672" s="3"/>
      <c r="G2672" s="4"/>
      <c r="H2672" s="4"/>
      <c r="I2672" s="4"/>
      <c r="J2672" s="4"/>
      <c r="K2672" s="4"/>
      <c r="L2672" s="4"/>
      <c r="M2672" s="4"/>
      <c r="N2672" s="4"/>
      <c r="O2672" s="6"/>
    </row>
    <row r="2673" spans="2:15" s="46" customFormat="1">
      <c r="B2673" s="3"/>
      <c r="C2673" s="3"/>
      <c r="G2673" s="4"/>
      <c r="H2673" s="4"/>
      <c r="I2673" s="4"/>
      <c r="J2673" s="4"/>
      <c r="K2673" s="4"/>
      <c r="L2673" s="4"/>
      <c r="M2673" s="4"/>
      <c r="N2673" s="4"/>
      <c r="O2673" s="6"/>
    </row>
    <row r="2674" spans="2:15" s="46" customFormat="1">
      <c r="B2674" s="3"/>
      <c r="C2674" s="3"/>
      <c r="G2674" s="4"/>
      <c r="H2674" s="4"/>
      <c r="I2674" s="4"/>
      <c r="J2674" s="4"/>
      <c r="K2674" s="4"/>
      <c r="L2674" s="4"/>
      <c r="M2674" s="4"/>
      <c r="N2674" s="4"/>
      <c r="O2674" s="6"/>
    </row>
    <row r="2675" spans="2:15" s="46" customFormat="1">
      <c r="B2675" s="3"/>
      <c r="C2675" s="3"/>
      <c r="G2675" s="4"/>
      <c r="H2675" s="4"/>
      <c r="I2675" s="4"/>
      <c r="J2675" s="4"/>
      <c r="K2675" s="4"/>
      <c r="L2675" s="4"/>
      <c r="M2675" s="4"/>
      <c r="N2675" s="4"/>
      <c r="O2675" s="6"/>
    </row>
    <row r="2676" spans="2:15" s="46" customFormat="1">
      <c r="B2676" s="3"/>
      <c r="C2676" s="3"/>
      <c r="G2676" s="4"/>
      <c r="H2676" s="4"/>
      <c r="I2676" s="4"/>
      <c r="J2676" s="4"/>
      <c r="K2676" s="4"/>
      <c r="L2676" s="4"/>
      <c r="M2676" s="4"/>
      <c r="N2676" s="4"/>
      <c r="O2676" s="6"/>
    </row>
    <row r="2677" spans="2:15" s="46" customFormat="1">
      <c r="B2677" s="3"/>
      <c r="C2677" s="3"/>
      <c r="G2677" s="4"/>
      <c r="H2677" s="4"/>
      <c r="I2677" s="4"/>
      <c r="J2677" s="4"/>
      <c r="K2677" s="4"/>
      <c r="L2677" s="4"/>
      <c r="M2677" s="4"/>
      <c r="N2677" s="4"/>
      <c r="O2677" s="6"/>
    </row>
    <row r="2678" spans="2:15" s="46" customFormat="1">
      <c r="B2678" s="3"/>
      <c r="C2678" s="3"/>
      <c r="G2678" s="4"/>
      <c r="H2678" s="4"/>
      <c r="I2678" s="4"/>
      <c r="J2678" s="4"/>
      <c r="K2678" s="4"/>
      <c r="L2678" s="4"/>
      <c r="M2678" s="4"/>
      <c r="N2678" s="4"/>
      <c r="O2678" s="6"/>
    </row>
    <row r="2679" spans="2:15" s="46" customFormat="1">
      <c r="B2679" s="3"/>
      <c r="C2679" s="3"/>
      <c r="G2679" s="4"/>
      <c r="H2679" s="4"/>
      <c r="I2679" s="4"/>
      <c r="J2679" s="4"/>
      <c r="K2679" s="4"/>
      <c r="L2679" s="4"/>
      <c r="M2679" s="4"/>
      <c r="N2679" s="4"/>
      <c r="O2679" s="6"/>
    </row>
    <row r="2680" spans="2:15" s="46" customFormat="1">
      <c r="B2680" s="3"/>
      <c r="C2680" s="3"/>
      <c r="G2680" s="4"/>
      <c r="H2680" s="4"/>
      <c r="I2680" s="4"/>
      <c r="J2680" s="4"/>
      <c r="K2680" s="4"/>
      <c r="L2680" s="4"/>
      <c r="M2680" s="4"/>
      <c r="N2680" s="4"/>
      <c r="O2680" s="6"/>
    </row>
    <row r="2681" spans="2:15" s="46" customFormat="1">
      <c r="B2681" s="3"/>
      <c r="C2681" s="3"/>
      <c r="G2681" s="4"/>
      <c r="H2681" s="4"/>
      <c r="I2681" s="4"/>
      <c r="J2681" s="4"/>
      <c r="K2681" s="4"/>
      <c r="L2681" s="4"/>
      <c r="M2681" s="4"/>
      <c r="N2681" s="4"/>
      <c r="O2681" s="6"/>
    </row>
    <row r="2682" spans="2:15" s="46" customFormat="1">
      <c r="B2682" s="3"/>
      <c r="C2682" s="3"/>
      <c r="G2682" s="4"/>
      <c r="H2682" s="4"/>
      <c r="I2682" s="4"/>
      <c r="J2682" s="4"/>
      <c r="K2682" s="4"/>
      <c r="L2682" s="4"/>
      <c r="M2682" s="4"/>
      <c r="N2682" s="4"/>
      <c r="O2682" s="6"/>
    </row>
    <row r="2683" spans="2:15" s="46" customFormat="1">
      <c r="B2683" s="3"/>
      <c r="C2683" s="3"/>
      <c r="G2683" s="4"/>
      <c r="H2683" s="4"/>
      <c r="I2683" s="4"/>
      <c r="J2683" s="4"/>
      <c r="K2683" s="4"/>
      <c r="L2683" s="4"/>
      <c r="M2683" s="4"/>
      <c r="N2683" s="4"/>
      <c r="O2683" s="6"/>
    </row>
    <row r="2684" spans="2:15" s="46" customFormat="1">
      <c r="B2684" s="3"/>
      <c r="C2684" s="3"/>
      <c r="G2684" s="4"/>
      <c r="H2684" s="4"/>
      <c r="I2684" s="4"/>
      <c r="J2684" s="4"/>
      <c r="K2684" s="4"/>
      <c r="L2684" s="4"/>
      <c r="M2684" s="4"/>
      <c r="N2684" s="4"/>
      <c r="O2684" s="6"/>
    </row>
    <row r="2685" spans="2:15" s="46" customFormat="1">
      <c r="B2685" s="3"/>
      <c r="C2685" s="3"/>
      <c r="G2685" s="4"/>
      <c r="H2685" s="4"/>
      <c r="I2685" s="4"/>
      <c r="J2685" s="4"/>
      <c r="K2685" s="4"/>
      <c r="L2685" s="4"/>
      <c r="M2685" s="4"/>
      <c r="N2685" s="4"/>
      <c r="O2685" s="6"/>
    </row>
    <row r="2686" spans="2:15" s="46" customFormat="1">
      <c r="B2686" s="3"/>
      <c r="C2686" s="3"/>
      <c r="G2686" s="4"/>
      <c r="H2686" s="4"/>
      <c r="I2686" s="4"/>
      <c r="J2686" s="4"/>
      <c r="K2686" s="4"/>
      <c r="L2686" s="4"/>
      <c r="M2686" s="4"/>
      <c r="N2686" s="4"/>
      <c r="O2686" s="6"/>
    </row>
    <row r="2687" spans="2:15" s="46" customFormat="1">
      <c r="B2687" s="3"/>
      <c r="C2687" s="3"/>
      <c r="G2687" s="4"/>
      <c r="H2687" s="4"/>
      <c r="I2687" s="4"/>
      <c r="J2687" s="4"/>
      <c r="K2687" s="4"/>
      <c r="L2687" s="4"/>
      <c r="M2687" s="4"/>
      <c r="N2687" s="4"/>
      <c r="O2687" s="6"/>
    </row>
    <row r="2688" spans="2:15" s="46" customFormat="1">
      <c r="B2688" s="3"/>
      <c r="C2688" s="3"/>
      <c r="G2688" s="4"/>
      <c r="H2688" s="4"/>
      <c r="I2688" s="4"/>
      <c r="J2688" s="4"/>
      <c r="K2688" s="4"/>
      <c r="L2688" s="4"/>
      <c r="M2688" s="4"/>
      <c r="N2688" s="4"/>
      <c r="O2688" s="6"/>
    </row>
    <row r="2689" spans="2:15" s="46" customFormat="1">
      <c r="B2689" s="3"/>
      <c r="C2689" s="3"/>
      <c r="G2689" s="4"/>
      <c r="H2689" s="4"/>
      <c r="I2689" s="4"/>
      <c r="J2689" s="4"/>
      <c r="K2689" s="4"/>
      <c r="L2689" s="4"/>
      <c r="M2689" s="4"/>
      <c r="N2689" s="4"/>
      <c r="O2689" s="6"/>
    </row>
    <row r="2690" spans="2:15" s="46" customFormat="1">
      <c r="B2690" s="3"/>
      <c r="C2690" s="3"/>
      <c r="G2690" s="4"/>
      <c r="H2690" s="4"/>
      <c r="I2690" s="4"/>
      <c r="J2690" s="4"/>
      <c r="K2690" s="4"/>
      <c r="L2690" s="4"/>
      <c r="M2690" s="4"/>
      <c r="N2690" s="4"/>
      <c r="O2690" s="6"/>
    </row>
    <row r="2691" spans="2:15" s="46" customFormat="1">
      <c r="B2691" s="3"/>
      <c r="C2691" s="3"/>
      <c r="G2691" s="4"/>
      <c r="H2691" s="4"/>
      <c r="I2691" s="4"/>
      <c r="J2691" s="4"/>
      <c r="K2691" s="4"/>
      <c r="L2691" s="4"/>
      <c r="M2691" s="4"/>
      <c r="N2691" s="4"/>
      <c r="O2691" s="6"/>
    </row>
    <row r="2692" spans="2:15" s="46" customFormat="1">
      <c r="B2692" s="3"/>
      <c r="C2692" s="3"/>
      <c r="G2692" s="4"/>
      <c r="H2692" s="4"/>
      <c r="I2692" s="4"/>
      <c r="J2692" s="4"/>
      <c r="K2692" s="4"/>
      <c r="L2692" s="4"/>
      <c r="M2692" s="4"/>
      <c r="N2692" s="4"/>
      <c r="O2692" s="6"/>
    </row>
    <row r="2693" spans="2:15" s="46" customFormat="1">
      <c r="B2693" s="3"/>
      <c r="C2693" s="3"/>
      <c r="G2693" s="4"/>
      <c r="H2693" s="4"/>
      <c r="I2693" s="4"/>
      <c r="J2693" s="4"/>
      <c r="K2693" s="4"/>
      <c r="L2693" s="4"/>
      <c r="M2693" s="4"/>
      <c r="N2693" s="4"/>
      <c r="O2693" s="6"/>
    </row>
    <row r="2694" spans="2:15" s="46" customFormat="1">
      <c r="B2694" s="3"/>
      <c r="C2694" s="3"/>
      <c r="G2694" s="4"/>
      <c r="H2694" s="4"/>
      <c r="I2694" s="4"/>
      <c r="J2694" s="4"/>
      <c r="K2694" s="4"/>
      <c r="L2694" s="4"/>
      <c r="M2694" s="4"/>
      <c r="N2694" s="4"/>
      <c r="O2694" s="6"/>
    </row>
    <row r="2695" spans="2:15" s="46" customFormat="1">
      <c r="B2695" s="3"/>
      <c r="C2695" s="3"/>
      <c r="G2695" s="4"/>
      <c r="H2695" s="4"/>
      <c r="I2695" s="4"/>
      <c r="J2695" s="4"/>
      <c r="K2695" s="4"/>
      <c r="L2695" s="4"/>
      <c r="M2695" s="4"/>
      <c r="N2695" s="4"/>
      <c r="O2695" s="6"/>
    </row>
    <row r="2696" spans="2:15" s="46" customFormat="1">
      <c r="B2696" s="3"/>
      <c r="C2696" s="3"/>
      <c r="G2696" s="4"/>
      <c r="H2696" s="4"/>
      <c r="I2696" s="4"/>
      <c r="J2696" s="4"/>
      <c r="K2696" s="4"/>
      <c r="L2696" s="4"/>
      <c r="M2696" s="4"/>
      <c r="N2696" s="4"/>
      <c r="O2696" s="6"/>
    </row>
    <row r="2697" spans="2:15" s="46" customFormat="1">
      <c r="B2697" s="3"/>
      <c r="C2697" s="3"/>
      <c r="G2697" s="4"/>
      <c r="H2697" s="4"/>
      <c r="I2697" s="4"/>
      <c r="J2697" s="4"/>
      <c r="K2697" s="4"/>
      <c r="L2697" s="4"/>
      <c r="M2697" s="4"/>
      <c r="N2697" s="4"/>
      <c r="O2697" s="6"/>
    </row>
    <row r="2698" spans="2:15" s="46" customFormat="1">
      <c r="B2698" s="3"/>
      <c r="C2698" s="3"/>
      <c r="G2698" s="4"/>
      <c r="H2698" s="4"/>
      <c r="I2698" s="4"/>
      <c r="J2698" s="4"/>
      <c r="K2698" s="4"/>
      <c r="L2698" s="4"/>
      <c r="M2698" s="4"/>
      <c r="N2698" s="4"/>
      <c r="O2698" s="6"/>
    </row>
    <row r="2699" spans="2:15" s="46" customFormat="1">
      <c r="B2699" s="3"/>
      <c r="C2699" s="3"/>
      <c r="G2699" s="4"/>
      <c r="H2699" s="4"/>
      <c r="I2699" s="4"/>
      <c r="J2699" s="4"/>
      <c r="K2699" s="4"/>
      <c r="L2699" s="4"/>
      <c r="M2699" s="4"/>
      <c r="N2699" s="4"/>
      <c r="O2699" s="6"/>
    </row>
    <row r="2700" spans="2:15" s="46" customFormat="1">
      <c r="B2700" s="3"/>
      <c r="C2700" s="3"/>
      <c r="G2700" s="4"/>
      <c r="H2700" s="4"/>
      <c r="I2700" s="4"/>
      <c r="J2700" s="4"/>
      <c r="K2700" s="4"/>
      <c r="L2700" s="4"/>
      <c r="M2700" s="4"/>
      <c r="N2700" s="4"/>
      <c r="O2700" s="6"/>
    </row>
    <row r="2701" spans="2:15" s="46" customFormat="1">
      <c r="B2701" s="3"/>
      <c r="C2701" s="3"/>
      <c r="G2701" s="4"/>
      <c r="H2701" s="4"/>
      <c r="I2701" s="4"/>
      <c r="J2701" s="4"/>
      <c r="K2701" s="4"/>
      <c r="L2701" s="4"/>
      <c r="M2701" s="4"/>
      <c r="N2701" s="4"/>
      <c r="O2701" s="6"/>
    </row>
    <row r="2702" spans="2:15" s="46" customFormat="1">
      <c r="B2702" s="3"/>
      <c r="C2702" s="3"/>
      <c r="G2702" s="4"/>
      <c r="H2702" s="4"/>
      <c r="I2702" s="4"/>
      <c r="J2702" s="4"/>
      <c r="K2702" s="4"/>
      <c r="L2702" s="4"/>
      <c r="M2702" s="4"/>
      <c r="N2702" s="4"/>
      <c r="O2702" s="6"/>
    </row>
    <row r="2703" spans="2:15" s="46" customFormat="1">
      <c r="B2703" s="3"/>
      <c r="C2703" s="3"/>
      <c r="G2703" s="4"/>
      <c r="H2703" s="4"/>
      <c r="I2703" s="4"/>
      <c r="J2703" s="4"/>
      <c r="K2703" s="4"/>
      <c r="L2703" s="4"/>
      <c r="M2703" s="4"/>
      <c r="N2703" s="4"/>
      <c r="O2703" s="6"/>
    </row>
    <row r="2704" spans="2:15" s="46" customFormat="1">
      <c r="B2704" s="3"/>
      <c r="C2704" s="3"/>
      <c r="G2704" s="4"/>
      <c r="H2704" s="4"/>
      <c r="I2704" s="4"/>
      <c r="J2704" s="4"/>
      <c r="K2704" s="4"/>
      <c r="L2704" s="4"/>
      <c r="M2704" s="4"/>
      <c r="N2704" s="4"/>
      <c r="O2704" s="6"/>
    </row>
    <row r="2705" spans="2:15" s="46" customFormat="1">
      <c r="B2705" s="3"/>
      <c r="C2705" s="3"/>
      <c r="G2705" s="4"/>
      <c r="H2705" s="4"/>
      <c r="I2705" s="4"/>
      <c r="J2705" s="4"/>
      <c r="K2705" s="4"/>
      <c r="L2705" s="4"/>
      <c r="M2705" s="4"/>
      <c r="N2705" s="4"/>
      <c r="O2705" s="6"/>
    </row>
    <row r="2706" spans="2:15" s="46" customFormat="1">
      <c r="B2706" s="3"/>
      <c r="C2706" s="3"/>
      <c r="G2706" s="4"/>
      <c r="H2706" s="4"/>
      <c r="I2706" s="4"/>
      <c r="J2706" s="4"/>
      <c r="K2706" s="4"/>
      <c r="L2706" s="4"/>
      <c r="M2706" s="4"/>
      <c r="N2706" s="4"/>
      <c r="O2706" s="6"/>
    </row>
    <row r="2707" spans="2:15" s="46" customFormat="1">
      <c r="B2707" s="3"/>
      <c r="C2707" s="3"/>
      <c r="G2707" s="4"/>
      <c r="H2707" s="4"/>
      <c r="I2707" s="4"/>
      <c r="J2707" s="4"/>
      <c r="K2707" s="4"/>
      <c r="L2707" s="4"/>
      <c r="M2707" s="4"/>
      <c r="N2707" s="4"/>
      <c r="O2707" s="6"/>
    </row>
    <row r="2708" spans="2:15" s="46" customFormat="1">
      <c r="B2708" s="3"/>
      <c r="C2708" s="3"/>
      <c r="G2708" s="4"/>
      <c r="H2708" s="4"/>
      <c r="I2708" s="4"/>
      <c r="J2708" s="4"/>
      <c r="K2708" s="4"/>
      <c r="L2708" s="4"/>
      <c r="M2708" s="4"/>
      <c r="N2708" s="4"/>
      <c r="O2708" s="6"/>
    </row>
    <row r="2709" spans="2:15" s="46" customFormat="1">
      <c r="B2709" s="3"/>
      <c r="C2709" s="3"/>
      <c r="G2709" s="4"/>
      <c r="H2709" s="4"/>
      <c r="I2709" s="4"/>
      <c r="J2709" s="4"/>
      <c r="K2709" s="4"/>
      <c r="L2709" s="4"/>
      <c r="M2709" s="4"/>
      <c r="N2709" s="4"/>
      <c r="O2709" s="6"/>
    </row>
    <row r="2710" spans="2:15" s="46" customFormat="1">
      <c r="B2710" s="3"/>
      <c r="C2710" s="3"/>
      <c r="G2710" s="4"/>
      <c r="H2710" s="4"/>
      <c r="I2710" s="4"/>
      <c r="J2710" s="4"/>
      <c r="K2710" s="4"/>
      <c r="L2710" s="4"/>
      <c r="M2710" s="4"/>
      <c r="N2710" s="4"/>
      <c r="O2710" s="6"/>
    </row>
    <row r="2711" spans="2:15" s="46" customFormat="1">
      <c r="B2711" s="3"/>
      <c r="C2711" s="3"/>
      <c r="G2711" s="4"/>
      <c r="H2711" s="4"/>
      <c r="I2711" s="4"/>
      <c r="J2711" s="4"/>
      <c r="K2711" s="4"/>
      <c r="L2711" s="4"/>
      <c r="M2711" s="4"/>
      <c r="N2711" s="4"/>
      <c r="O2711" s="6"/>
    </row>
    <row r="2712" spans="2:15" s="46" customFormat="1">
      <c r="B2712" s="3"/>
      <c r="C2712" s="3"/>
      <c r="G2712" s="4"/>
      <c r="H2712" s="4"/>
      <c r="I2712" s="4"/>
      <c r="J2712" s="4"/>
      <c r="K2712" s="4"/>
      <c r="L2712" s="4"/>
      <c r="M2712" s="4"/>
      <c r="N2712" s="4"/>
      <c r="O2712" s="6"/>
    </row>
    <row r="2713" spans="2:15" s="46" customFormat="1">
      <c r="B2713" s="3"/>
      <c r="C2713" s="3"/>
      <c r="G2713" s="4"/>
      <c r="H2713" s="4"/>
      <c r="I2713" s="4"/>
      <c r="J2713" s="4"/>
      <c r="K2713" s="4"/>
      <c r="L2713" s="4"/>
      <c r="M2713" s="4"/>
      <c r="N2713" s="4"/>
      <c r="O2713" s="6"/>
    </row>
    <row r="2714" spans="2:15" s="46" customFormat="1">
      <c r="B2714" s="3"/>
      <c r="C2714" s="3"/>
      <c r="G2714" s="4"/>
      <c r="H2714" s="4"/>
      <c r="I2714" s="4"/>
      <c r="J2714" s="4"/>
      <c r="K2714" s="4"/>
      <c r="L2714" s="4"/>
      <c r="M2714" s="4"/>
      <c r="N2714" s="4"/>
      <c r="O2714" s="6"/>
    </row>
    <row r="2715" spans="2:15" s="46" customFormat="1">
      <c r="B2715" s="3"/>
      <c r="C2715" s="3"/>
      <c r="G2715" s="4"/>
      <c r="H2715" s="4"/>
      <c r="I2715" s="4"/>
      <c r="J2715" s="4"/>
      <c r="K2715" s="4"/>
      <c r="L2715" s="4"/>
      <c r="M2715" s="4"/>
      <c r="N2715" s="4"/>
      <c r="O2715" s="6"/>
    </row>
    <row r="2716" spans="2:15" s="46" customFormat="1">
      <c r="B2716" s="3"/>
      <c r="C2716" s="3"/>
      <c r="G2716" s="4"/>
      <c r="H2716" s="4"/>
      <c r="I2716" s="4"/>
      <c r="J2716" s="4"/>
      <c r="K2716" s="4"/>
      <c r="L2716" s="4"/>
      <c r="M2716" s="4"/>
      <c r="N2716" s="4"/>
      <c r="O2716" s="6"/>
    </row>
    <row r="2717" spans="2:15" s="46" customFormat="1">
      <c r="B2717" s="3"/>
      <c r="C2717" s="3"/>
      <c r="G2717" s="4"/>
      <c r="H2717" s="4"/>
      <c r="I2717" s="4"/>
      <c r="J2717" s="4"/>
      <c r="K2717" s="4"/>
      <c r="L2717" s="4"/>
      <c r="M2717" s="4"/>
      <c r="N2717" s="4"/>
      <c r="O2717" s="6"/>
    </row>
    <row r="2718" spans="2:15" s="46" customFormat="1">
      <c r="B2718" s="3"/>
      <c r="C2718" s="3"/>
      <c r="G2718" s="4"/>
      <c r="H2718" s="4"/>
      <c r="I2718" s="4"/>
      <c r="J2718" s="4"/>
      <c r="K2718" s="4"/>
      <c r="L2718" s="4"/>
      <c r="M2718" s="4"/>
      <c r="N2718" s="4"/>
      <c r="O2718" s="6"/>
    </row>
    <row r="2719" spans="2:15" s="46" customFormat="1">
      <c r="B2719" s="3"/>
      <c r="C2719" s="3"/>
      <c r="G2719" s="4"/>
      <c r="H2719" s="4"/>
      <c r="I2719" s="4"/>
      <c r="J2719" s="4"/>
      <c r="K2719" s="4"/>
      <c r="L2719" s="4"/>
      <c r="M2719" s="4"/>
      <c r="N2719" s="4"/>
      <c r="O2719" s="6"/>
    </row>
    <row r="2720" spans="2:15" s="46" customFormat="1">
      <c r="B2720" s="3"/>
      <c r="C2720" s="3"/>
      <c r="G2720" s="4"/>
      <c r="H2720" s="4"/>
      <c r="I2720" s="4"/>
      <c r="J2720" s="4"/>
      <c r="K2720" s="4"/>
      <c r="L2720" s="4"/>
      <c r="M2720" s="4"/>
      <c r="N2720" s="4"/>
      <c r="O2720" s="6"/>
    </row>
    <row r="2721" spans="2:15" s="46" customFormat="1">
      <c r="B2721" s="3"/>
      <c r="C2721" s="3"/>
      <c r="G2721" s="4"/>
      <c r="H2721" s="4"/>
      <c r="I2721" s="4"/>
      <c r="J2721" s="4"/>
      <c r="K2721" s="4"/>
      <c r="L2721" s="4"/>
      <c r="M2721" s="4"/>
      <c r="N2721" s="4"/>
      <c r="O2721" s="6"/>
    </row>
    <row r="2722" spans="2:15" s="46" customFormat="1">
      <c r="B2722" s="3"/>
      <c r="C2722" s="3"/>
      <c r="G2722" s="4"/>
      <c r="H2722" s="4"/>
      <c r="I2722" s="4"/>
      <c r="J2722" s="4"/>
      <c r="K2722" s="4"/>
      <c r="L2722" s="4"/>
      <c r="M2722" s="4"/>
      <c r="N2722" s="4"/>
      <c r="O2722" s="6"/>
    </row>
    <row r="2723" spans="2:15" s="46" customFormat="1">
      <c r="B2723" s="3"/>
      <c r="C2723" s="3"/>
      <c r="G2723" s="4"/>
      <c r="H2723" s="4"/>
      <c r="I2723" s="4"/>
      <c r="J2723" s="4"/>
      <c r="K2723" s="4"/>
      <c r="L2723" s="4"/>
      <c r="M2723" s="4"/>
      <c r="N2723" s="4"/>
      <c r="O2723" s="6"/>
    </row>
    <row r="2724" spans="2:15" s="46" customFormat="1">
      <c r="B2724" s="3"/>
      <c r="C2724" s="3"/>
      <c r="G2724" s="4"/>
      <c r="H2724" s="4"/>
      <c r="I2724" s="4"/>
      <c r="J2724" s="4"/>
      <c r="K2724" s="4"/>
      <c r="L2724" s="4"/>
      <c r="M2724" s="4"/>
      <c r="N2724" s="4"/>
      <c r="O2724" s="6"/>
    </row>
    <row r="2725" spans="2:15" s="46" customFormat="1">
      <c r="B2725" s="3"/>
      <c r="C2725" s="3"/>
      <c r="G2725" s="4"/>
      <c r="H2725" s="4"/>
      <c r="I2725" s="4"/>
      <c r="J2725" s="4"/>
      <c r="K2725" s="4"/>
      <c r="L2725" s="4"/>
      <c r="M2725" s="4"/>
      <c r="N2725" s="4"/>
      <c r="O2725" s="6"/>
    </row>
    <row r="2726" spans="2:15" s="46" customFormat="1">
      <c r="B2726" s="3"/>
      <c r="C2726" s="3"/>
      <c r="G2726" s="4"/>
      <c r="H2726" s="4"/>
      <c r="I2726" s="4"/>
      <c r="J2726" s="4"/>
      <c r="K2726" s="4"/>
      <c r="L2726" s="4"/>
      <c r="M2726" s="4"/>
      <c r="N2726" s="4"/>
      <c r="O2726" s="6"/>
    </row>
    <row r="2727" spans="2:15" s="46" customFormat="1">
      <c r="B2727" s="3"/>
      <c r="C2727" s="3"/>
      <c r="G2727" s="4"/>
      <c r="H2727" s="4"/>
      <c r="I2727" s="4"/>
      <c r="J2727" s="4"/>
      <c r="K2727" s="4"/>
      <c r="L2727" s="4"/>
      <c r="M2727" s="4"/>
      <c r="N2727" s="4"/>
      <c r="O2727" s="6"/>
    </row>
    <row r="2728" spans="2:15" s="46" customFormat="1">
      <c r="B2728" s="3"/>
      <c r="C2728" s="3"/>
      <c r="G2728" s="4"/>
      <c r="H2728" s="4"/>
      <c r="I2728" s="4"/>
      <c r="J2728" s="4"/>
      <c r="K2728" s="4"/>
      <c r="L2728" s="4"/>
      <c r="M2728" s="4"/>
      <c r="N2728" s="4"/>
      <c r="O2728" s="6"/>
    </row>
    <row r="2729" spans="2:15" s="46" customFormat="1">
      <c r="B2729" s="3"/>
      <c r="C2729" s="3"/>
      <c r="G2729" s="4"/>
      <c r="H2729" s="4"/>
      <c r="I2729" s="4"/>
      <c r="J2729" s="4"/>
      <c r="K2729" s="4"/>
      <c r="L2729" s="4"/>
      <c r="M2729" s="4"/>
      <c r="N2729" s="4"/>
      <c r="O2729" s="6"/>
    </row>
    <row r="2730" spans="2:15" s="46" customFormat="1">
      <c r="B2730" s="3"/>
      <c r="C2730" s="3"/>
      <c r="G2730" s="4"/>
      <c r="H2730" s="4"/>
      <c r="I2730" s="4"/>
      <c r="J2730" s="4"/>
      <c r="K2730" s="4"/>
      <c r="L2730" s="4"/>
      <c r="M2730" s="4"/>
      <c r="N2730" s="4"/>
      <c r="O2730" s="6"/>
    </row>
    <row r="2731" spans="2:15" s="46" customFormat="1">
      <c r="B2731" s="3"/>
      <c r="C2731" s="3"/>
      <c r="G2731" s="4"/>
      <c r="H2731" s="4"/>
      <c r="I2731" s="4"/>
      <c r="J2731" s="4"/>
      <c r="K2731" s="4"/>
      <c r="L2731" s="4"/>
      <c r="M2731" s="4"/>
      <c r="N2731" s="4"/>
      <c r="O2731" s="6"/>
    </row>
    <row r="2732" spans="2:15" s="46" customFormat="1">
      <c r="B2732" s="3"/>
      <c r="C2732" s="3"/>
      <c r="G2732" s="4"/>
      <c r="H2732" s="4"/>
      <c r="I2732" s="4"/>
      <c r="J2732" s="4"/>
      <c r="K2732" s="4"/>
      <c r="L2732" s="4"/>
      <c r="M2732" s="4"/>
      <c r="N2732" s="4"/>
      <c r="O2732" s="6"/>
    </row>
    <row r="2733" spans="2:15" s="46" customFormat="1">
      <c r="B2733" s="3"/>
      <c r="C2733" s="3"/>
      <c r="G2733" s="4"/>
      <c r="H2733" s="4"/>
      <c r="I2733" s="4"/>
      <c r="J2733" s="4"/>
      <c r="K2733" s="4"/>
      <c r="L2733" s="4"/>
      <c r="M2733" s="4"/>
      <c r="N2733" s="4"/>
      <c r="O2733" s="6"/>
    </row>
    <row r="2734" spans="2:15" s="46" customFormat="1">
      <c r="B2734" s="3"/>
      <c r="C2734" s="3"/>
      <c r="G2734" s="4"/>
      <c r="H2734" s="4"/>
      <c r="I2734" s="4"/>
      <c r="J2734" s="4"/>
      <c r="K2734" s="4"/>
      <c r="L2734" s="4"/>
      <c r="M2734" s="4"/>
      <c r="N2734" s="4"/>
      <c r="O2734" s="6"/>
    </row>
    <row r="2735" spans="2:15" s="46" customFormat="1">
      <c r="B2735" s="3"/>
      <c r="C2735" s="3"/>
      <c r="G2735" s="4"/>
      <c r="H2735" s="4"/>
      <c r="I2735" s="4"/>
      <c r="J2735" s="4"/>
      <c r="K2735" s="4"/>
      <c r="L2735" s="4"/>
      <c r="M2735" s="4"/>
      <c r="N2735" s="4"/>
      <c r="O2735" s="6"/>
    </row>
    <row r="2736" spans="2:15" s="46" customFormat="1">
      <c r="B2736" s="3"/>
      <c r="C2736" s="3"/>
      <c r="G2736" s="4"/>
      <c r="H2736" s="4"/>
      <c r="I2736" s="4"/>
      <c r="J2736" s="4"/>
      <c r="K2736" s="4"/>
      <c r="L2736" s="4"/>
      <c r="M2736" s="4"/>
      <c r="N2736" s="4"/>
      <c r="O2736" s="6"/>
    </row>
    <row r="2737" spans="2:15" s="46" customFormat="1">
      <c r="B2737" s="3"/>
      <c r="C2737" s="3"/>
      <c r="G2737" s="4"/>
      <c r="H2737" s="4"/>
      <c r="I2737" s="4"/>
      <c r="J2737" s="4"/>
      <c r="K2737" s="4"/>
      <c r="L2737" s="4"/>
      <c r="M2737" s="4"/>
      <c r="N2737" s="4"/>
      <c r="O2737" s="6"/>
    </row>
    <row r="2738" spans="2:15" s="46" customFormat="1">
      <c r="B2738" s="3"/>
      <c r="C2738" s="3"/>
      <c r="G2738" s="4"/>
      <c r="H2738" s="4"/>
      <c r="I2738" s="4"/>
      <c r="J2738" s="4"/>
      <c r="K2738" s="4"/>
      <c r="L2738" s="4"/>
      <c r="M2738" s="4"/>
      <c r="N2738" s="4"/>
      <c r="O2738" s="6"/>
    </row>
    <row r="2739" spans="2:15" s="46" customFormat="1">
      <c r="B2739" s="3"/>
      <c r="C2739" s="3"/>
      <c r="G2739" s="4"/>
      <c r="H2739" s="4"/>
      <c r="I2739" s="4"/>
      <c r="J2739" s="4"/>
      <c r="K2739" s="4"/>
      <c r="L2739" s="4"/>
      <c r="M2739" s="4"/>
      <c r="N2739" s="4"/>
      <c r="O2739" s="6"/>
    </row>
    <row r="2740" spans="2:15" s="46" customFormat="1">
      <c r="B2740" s="3"/>
      <c r="C2740" s="3"/>
      <c r="G2740" s="4"/>
      <c r="H2740" s="4"/>
      <c r="I2740" s="4"/>
      <c r="J2740" s="4"/>
      <c r="K2740" s="4"/>
      <c r="L2740" s="4"/>
      <c r="M2740" s="4"/>
      <c r="N2740" s="4"/>
      <c r="O2740" s="6"/>
    </row>
    <row r="2741" spans="2:15" s="46" customFormat="1">
      <c r="B2741" s="3"/>
      <c r="C2741" s="3"/>
      <c r="G2741" s="4"/>
      <c r="H2741" s="4"/>
      <c r="I2741" s="4"/>
      <c r="J2741" s="4"/>
      <c r="K2741" s="4"/>
      <c r="L2741" s="4"/>
      <c r="M2741" s="4"/>
      <c r="N2741" s="4"/>
      <c r="O2741" s="6"/>
    </row>
    <row r="2742" spans="2:15" s="46" customFormat="1">
      <c r="B2742" s="3"/>
      <c r="C2742" s="3"/>
      <c r="G2742" s="4"/>
      <c r="H2742" s="4"/>
      <c r="I2742" s="4"/>
      <c r="J2742" s="4"/>
      <c r="K2742" s="4"/>
      <c r="L2742" s="4"/>
      <c r="M2742" s="4"/>
      <c r="N2742" s="4"/>
      <c r="O2742" s="6"/>
    </row>
    <row r="2743" spans="2:15" s="46" customFormat="1">
      <c r="B2743" s="3"/>
      <c r="C2743" s="3"/>
      <c r="G2743" s="4"/>
      <c r="H2743" s="4"/>
      <c r="I2743" s="4"/>
      <c r="J2743" s="4"/>
      <c r="K2743" s="4"/>
      <c r="L2743" s="4"/>
      <c r="M2743" s="4"/>
      <c r="N2743" s="4"/>
      <c r="O2743" s="6"/>
    </row>
    <row r="2744" spans="2:15" s="46" customFormat="1">
      <c r="B2744" s="3"/>
      <c r="C2744" s="3"/>
      <c r="G2744" s="4"/>
      <c r="H2744" s="4"/>
      <c r="I2744" s="4"/>
      <c r="J2744" s="4"/>
      <c r="K2744" s="4"/>
      <c r="L2744" s="4"/>
      <c r="M2744" s="4"/>
      <c r="N2744" s="4"/>
      <c r="O2744" s="6"/>
    </row>
    <row r="2745" spans="2:15" s="46" customFormat="1">
      <c r="B2745" s="3"/>
      <c r="C2745" s="3"/>
      <c r="G2745" s="4"/>
      <c r="H2745" s="4"/>
      <c r="I2745" s="4"/>
      <c r="J2745" s="4"/>
      <c r="K2745" s="4"/>
      <c r="L2745" s="4"/>
      <c r="M2745" s="4"/>
      <c r="N2745" s="4"/>
      <c r="O2745" s="6"/>
    </row>
    <row r="2746" spans="2:15" s="46" customFormat="1">
      <c r="B2746" s="3"/>
      <c r="C2746" s="3"/>
      <c r="G2746" s="4"/>
      <c r="H2746" s="4"/>
      <c r="I2746" s="4"/>
      <c r="J2746" s="4"/>
      <c r="K2746" s="4"/>
      <c r="L2746" s="4"/>
      <c r="M2746" s="4"/>
      <c r="N2746" s="4"/>
      <c r="O2746" s="6"/>
    </row>
    <row r="2747" spans="2:15" s="46" customFormat="1">
      <c r="B2747" s="3"/>
      <c r="C2747" s="3"/>
      <c r="G2747" s="4"/>
      <c r="H2747" s="4"/>
      <c r="I2747" s="4"/>
      <c r="J2747" s="4"/>
      <c r="K2747" s="4"/>
      <c r="L2747" s="4"/>
      <c r="M2747" s="4"/>
      <c r="N2747" s="4"/>
      <c r="O2747" s="6"/>
    </row>
    <row r="2748" spans="2:15" s="46" customFormat="1">
      <c r="B2748" s="3"/>
      <c r="C2748" s="3"/>
      <c r="G2748" s="4"/>
      <c r="H2748" s="4"/>
      <c r="I2748" s="4"/>
      <c r="J2748" s="4"/>
      <c r="K2748" s="4"/>
      <c r="L2748" s="4"/>
      <c r="M2748" s="4"/>
      <c r="N2748" s="4"/>
      <c r="O2748" s="6"/>
    </row>
    <row r="2749" spans="2:15" s="46" customFormat="1">
      <c r="B2749" s="3"/>
      <c r="C2749" s="3"/>
      <c r="G2749" s="4"/>
      <c r="H2749" s="4"/>
      <c r="I2749" s="4"/>
      <c r="J2749" s="4"/>
      <c r="K2749" s="4"/>
      <c r="L2749" s="4"/>
      <c r="M2749" s="4"/>
      <c r="N2749" s="4"/>
      <c r="O2749" s="6"/>
    </row>
    <row r="2750" spans="2:15" s="46" customFormat="1">
      <c r="B2750" s="3"/>
      <c r="C2750" s="3"/>
      <c r="G2750" s="4"/>
      <c r="H2750" s="4"/>
      <c r="I2750" s="4"/>
      <c r="J2750" s="4"/>
      <c r="K2750" s="4"/>
      <c r="L2750" s="4"/>
      <c r="M2750" s="4"/>
      <c r="N2750" s="4"/>
      <c r="O2750" s="6"/>
    </row>
    <row r="2751" spans="2:15" s="46" customFormat="1">
      <c r="B2751" s="3"/>
      <c r="C2751" s="3"/>
      <c r="G2751" s="4"/>
      <c r="H2751" s="4"/>
      <c r="I2751" s="4"/>
      <c r="J2751" s="4"/>
      <c r="K2751" s="4"/>
      <c r="L2751" s="4"/>
      <c r="M2751" s="4"/>
      <c r="N2751" s="4"/>
      <c r="O2751" s="6"/>
    </row>
    <row r="2752" spans="2:15" s="46" customFormat="1">
      <c r="B2752" s="3"/>
      <c r="C2752" s="3"/>
      <c r="G2752" s="4"/>
      <c r="H2752" s="4"/>
      <c r="I2752" s="4"/>
      <c r="J2752" s="4"/>
      <c r="K2752" s="4"/>
      <c r="L2752" s="4"/>
      <c r="M2752" s="4"/>
      <c r="N2752" s="4"/>
      <c r="O2752" s="6"/>
    </row>
    <row r="2753" spans="2:15" s="46" customFormat="1">
      <c r="B2753" s="3"/>
      <c r="C2753" s="3"/>
      <c r="G2753" s="4"/>
      <c r="H2753" s="4"/>
      <c r="I2753" s="4"/>
      <c r="J2753" s="4"/>
      <c r="K2753" s="4"/>
      <c r="L2753" s="4"/>
      <c r="M2753" s="4"/>
      <c r="N2753" s="4"/>
      <c r="O2753" s="6"/>
    </row>
    <row r="2754" spans="2:15" s="46" customFormat="1">
      <c r="B2754" s="3"/>
      <c r="C2754" s="3"/>
      <c r="G2754" s="4"/>
      <c r="H2754" s="4"/>
      <c r="I2754" s="4"/>
      <c r="J2754" s="4"/>
      <c r="K2754" s="4"/>
      <c r="L2754" s="4"/>
      <c r="M2754" s="4"/>
      <c r="N2754" s="4"/>
      <c r="O2754" s="6"/>
    </row>
    <row r="2755" spans="2:15" s="46" customFormat="1">
      <c r="B2755" s="3"/>
      <c r="C2755" s="3"/>
      <c r="G2755" s="4"/>
      <c r="H2755" s="4"/>
      <c r="I2755" s="4"/>
      <c r="J2755" s="4"/>
      <c r="K2755" s="4"/>
      <c r="L2755" s="4"/>
      <c r="M2755" s="4"/>
      <c r="N2755" s="4"/>
      <c r="O2755" s="6"/>
    </row>
    <row r="2756" spans="2:15" s="46" customFormat="1">
      <c r="B2756" s="3"/>
      <c r="C2756" s="3"/>
      <c r="G2756" s="4"/>
      <c r="H2756" s="4"/>
      <c r="I2756" s="4"/>
      <c r="J2756" s="4"/>
      <c r="K2756" s="4"/>
      <c r="L2756" s="4"/>
      <c r="M2756" s="4"/>
      <c r="N2756" s="4"/>
      <c r="O2756" s="6"/>
    </row>
    <row r="2757" spans="2:15" s="46" customFormat="1">
      <c r="B2757" s="3"/>
      <c r="C2757" s="3"/>
      <c r="G2757" s="4"/>
      <c r="H2757" s="4"/>
      <c r="I2757" s="4"/>
      <c r="J2757" s="4"/>
      <c r="K2757" s="4"/>
      <c r="L2757" s="4"/>
      <c r="M2757" s="4"/>
      <c r="N2757" s="4"/>
      <c r="O2757" s="6"/>
    </row>
    <row r="2758" spans="2:15" s="46" customFormat="1">
      <c r="B2758" s="3"/>
      <c r="C2758" s="3"/>
      <c r="G2758" s="4"/>
      <c r="H2758" s="4"/>
      <c r="I2758" s="4"/>
      <c r="J2758" s="4"/>
      <c r="K2758" s="4"/>
      <c r="L2758" s="4"/>
      <c r="M2758" s="4"/>
      <c r="N2758" s="4"/>
      <c r="O2758" s="6"/>
    </row>
    <row r="2759" spans="2:15" s="46" customFormat="1">
      <c r="B2759" s="3"/>
      <c r="C2759" s="3"/>
      <c r="G2759" s="4"/>
      <c r="H2759" s="4"/>
      <c r="I2759" s="4"/>
      <c r="J2759" s="4"/>
      <c r="K2759" s="4"/>
      <c r="L2759" s="4"/>
      <c r="M2759" s="4"/>
      <c r="N2759" s="4"/>
      <c r="O2759" s="6"/>
    </row>
    <row r="2760" spans="2:15" s="46" customFormat="1">
      <c r="B2760" s="3"/>
      <c r="C2760" s="3"/>
      <c r="G2760" s="4"/>
      <c r="H2760" s="4"/>
      <c r="I2760" s="4"/>
      <c r="J2760" s="4"/>
      <c r="K2760" s="4"/>
      <c r="L2760" s="4"/>
      <c r="M2760" s="4"/>
      <c r="N2760" s="4"/>
      <c r="O2760" s="6"/>
    </row>
    <row r="2761" spans="2:15" s="46" customFormat="1">
      <c r="B2761" s="3"/>
      <c r="C2761" s="3"/>
      <c r="G2761" s="4"/>
      <c r="H2761" s="4"/>
      <c r="I2761" s="4"/>
      <c r="J2761" s="4"/>
      <c r="K2761" s="4"/>
      <c r="L2761" s="4"/>
      <c r="M2761" s="4"/>
      <c r="N2761" s="4"/>
      <c r="O2761" s="6"/>
    </row>
    <row r="2762" spans="2:15" s="46" customFormat="1">
      <c r="B2762" s="3"/>
      <c r="C2762" s="3"/>
      <c r="G2762" s="4"/>
      <c r="H2762" s="4"/>
      <c r="I2762" s="4"/>
      <c r="J2762" s="4"/>
      <c r="K2762" s="4"/>
      <c r="L2762" s="4"/>
      <c r="M2762" s="4"/>
      <c r="N2762" s="4"/>
      <c r="O2762" s="6"/>
    </row>
    <row r="2763" spans="2:15" s="46" customFormat="1">
      <c r="B2763" s="3"/>
      <c r="C2763" s="3"/>
      <c r="G2763" s="4"/>
      <c r="H2763" s="4"/>
      <c r="I2763" s="4"/>
      <c r="J2763" s="4"/>
      <c r="K2763" s="4"/>
      <c r="L2763" s="4"/>
      <c r="M2763" s="4"/>
      <c r="N2763" s="4"/>
      <c r="O2763" s="6"/>
    </row>
    <row r="2764" spans="2:15" s="46" customFormat="1">
      <c r="B2764" s="3"/>
      <c r="C2764" s="3"/>
      <c r="G2764" s="4"/>
      <c r="H2764" s="4"/>
      <c r="I2764" s="4"/>
      <c r="J2764" s="4"/>
      <c r="K2764" s="4"/>
      <c r="L2764" s="4"/>
      <c r="M2764" s="4"/>
      <c r="N2764" s="4"/>
      <c r="O2764" s="6"/>
    </row>
    <row r="2765" spans="2:15" s="46" customFormat="1">
      <c r="B2765" s="3"/>
      <c r="C2765" s="3"/>
      <c r="G2765" s="4"/>
      <c r="H2765" s="4"/>
      <c r="I2765" s="4"/>
      <c r="J2765" s="4"/>
      <c r="K2765" s="4"/>
      <c r="L2765" s="4"/>
      <c r="M2765" s="4"/>
      <c r="N2765" s="4"/>
      <c r="O2765" s="6"/>
    </row>
    <row r="2766" spans="2:15" s="46" customFormat="1">
      <c r="B2766" s="3"/>
      <c r="C2766" s="3"/>
      <c r="G2766" s="4"/>
      <c r="H2766" s="4"/>
      <c r="I2766" s="4"/>
      <c r="J2766" s="4"/>
      <c r="K2766" s="4"/>
      <c r="L2766" s="4"/>
      <c r="M2766" s="4"/>
      <c r="N2766" s="4"/>
      <c r="O2766" s="6"/>
    </row>
    <row r="2767" spans="2:15" s="46" customFormat="1">
      <c r="B2767" s="3"/>
      <c r="C2767" s="3"/>
      <c r="G2767" s="4"/>
      <c r="H2767" s="4"/>
      <c r="I2767" s="4"/>
      <c r="J2767" s="4"/>
      <c r="K2767" s="4"/>
      <c r="L2767" s="4"/>
      <c r="M2767" s="4"/>
      <c r="N2767" s="4"/>
      <c r="O2767" s="6"/>
    </row>
    <row r="2768" spans="2:15" s="46" customFormat="1">
      <c r="B2768" s="3"/>
      <c r="C2768" s="3"/>
      <c r="G2768" s="4"/>
      <c r="H2768" s="4"/>
      <c r="I2768" s="4"/>
      <c r="J2768" s="4"/>
      <c r="K2768" s="4"/>
      <c r="L2768" s="4"/>
      <c r="M2768" s="4"/>
      <c r="N2768" s="4"/>
      <c r="O2768" s="6"/>
    </row>
    <row r="2769" spans="2:15" s="46" customFormat="1">
      <c r="B2769" s="3"/>
      <c r="C2769" s="3"/>
      <c r="G2769" s="4"/>
      <c r="H2769" s="4"/>
      <c r="I2769" s="4"/>
      <c r="J2769" s="4"/>
      <c r="K2769" s="4"/>
      <c r="L2769" s="4"/>
      <c r="M2769" s="4"/>
      <c r="N2769" s="4"/>
      <c r="O2769" s="6"/>
    </row>
    <row r="2770" spans="2:15" s="46" customFormat="1">
      <c r="B2770" s="3"/>
      <c r="C2770" s="3"/>
      <c r="G2770" s="4"/>
      <c r="H2770" s="4"/>
      <c r="I2770" s="4"/>
      <c r="J2770" s="4"/>
      <c r="K2770" s="4"/>
      <c r="L2770" s="4"/>
      <c r="M2770" s="4"/>
      <c r="N2770" s="4"/>
      <c r="O2770" s="6"/>
    </row>
    <row r="2771" spans="2:15" s="46" customFormat="1">
      <c r="B2771" s="3"/>
      <c r="C2771" s="3"/>
      <c r="G2771" s="4"/>
      <c r="H2771" s="4"/>
      <c r="I2771" s="4"/>
      <c r="J2771" s="4"/>
      <c r="K2771" s="4"/>
      <c r="L2771" s="4"/>
      <c r="M2771" s="4"/>
      <c r="N2771" s="4"/>
      <c r="O2771" s="6"/>
    </row>
    <row r="2772" spans="2:15" s="46" customFormat="1">
      <c r="B2772" s="3"/>
      <c r="C2772" s="3"/>
      <c r="G2772" s="4"/>
      <c r="H2772" s="4"/>
      <c r="I2772" s="4"/>
      <c r="J2772" s="4"/>
      <c r="K2772" s="4"/>
      <c r="L2772" s="4"/>
      <c r="M2772" s="4"/>
      <c r="N2772" s="4"/>
      <c r="O2772" s="6"/>
    </row>
    <row r="2773" spans="2:15" s="46" customFormat="1">
      <c r="B2773" s="3"/>
      <c r="C2773" s="3"/>
      <c r="G2773" s="4"/>
      <c r="H2773" s="4"/>
      <c r="I2773" s="4"/>
      <c r="J2773" s="4"/>
      <c r="K2773" s="4"/>
      <c r="L2773" s="4"/>
      <c r="M2773" s="4"/>
      <c r="N2773" s="4"/>
      <c r="O2773" s="6"/>
    </row>
    <row r="2774" spans="2:15" s="46" customFormat="1">
      <c r="B2774" s="3"/>
      <c r="C2774" s="3"/>
      <c r="G2774" s="4"/>
      <c r="H2774" s="4"/>
      <c r="I2774" s="4"/>
      <c r="J2774" s="4"/>
      <c r="K2774" s="4"/>
      <c r="L2774" s="4"/>
      <c r="M2774" s="4"/>
      <c r="N2774" s="4"/>
      <c r="O2774" s="6"/>
    </row>
    <row r="2775" spans="2:15" s="46" customFormat="1">
      <c r="B2775" s="3"/>
      <c r="C2775" s="3"/>
      <c r="G2775" s="4"/>
      <c r="H2775" s="4"/>
      <c r="I2775" s="4"/>
      <c r="J2775" s="4"/>
      <c r="K2775" s="4"/>
      <c r="L2775" s="4"/>
      <c r="M2775" s="4"/>
      <c r="N2775" s="4"/>
      <c r="O2775" s="6"/>
    </row>
    <row r="2776" spans="2:15" s="46" customFormat="1">
      <c r="B2776" s="3"/>
      <c r="C2776" s="3"/>
      <c r="G2776" s="4"/>
      <c r="H2776" s="4"/>
      <c r="I2776" s="4"/>
      <c r="J2776" s="4"/>
      <c r="K2776" s="4"/>
      <c r="L2776" s="4"/>
      <c r="M2776" s="4"/>
      <c r="N2776" s="4"/>
      <c r="O2776" s="6"/>
    </row>
    <row r="2777" spans="2:15" s="46" customFormat="1">
      <c r="B2777" s="3"/>
      <c r="C2777" s="3"/>
      <c r="G2777" s="4"/>
      <c r="H2777" s="4"/>
      <c r="I2777" s="4"/>
      <c r="J2777" s="4"/>
      <c r="K2777" s="4"/>
      <c r="L2777" s="4"/>
      <c r="M2777" s="4"/>
      <c r="N2777" s="4"/>
      <c r="O2777" s="6"/>
    </row>
    <row r="2778" spans="2:15" s="46" customFormat="1">
      <c r="B2778" s="3"/>
      <c r="C2778" s="3"/>
      <c r="G2778" s="4"/>
      <c r="H2778" s="4"/>
      <c r="I2778" s="4"/>
      <c r="J2778" s="4"/>
      <c r="K2778" s="4"/>
      <c r="L2778" s="4"/>
      <c r="M2778" s="4"/>
      <c r="N2778" s="4"/>
      <c r="O2778" s="6"/>
    </row>
    <row r="2779" spans="2:15" s="46" customFormat="1">
      <c r="B2779" s="3"/>
      <c r="C2779" s="3"/>
      <c r="G2779" s="4"/>
      <c r="H2779" s="4"/>
      <c r="I2779" s="4"/>
      <c r="J2779" s="4"/>
      <c r="K2779" s="4"/>
      <c r="L2779" s="4"/>
      <c r="M2779" s="4"/>
      <c r="N2779" s="4"/>
      <c r="O2779" s="6"/>
    </row>
    <row r="2780" spans="2:15" s="46" customFormat="1">
      <c r="B2780" s="3"/>
      <c r="C2780" s="3"/>
      <c r="G2780" s="4"/>
      <c r="H2780" s="4"/>
      <c r="I2780" s="4"/>
      <c r="J2780" s="4"/>
      <c r="K2780" s="4"/>
      <c r="L2780" s="4"/>
      <c r="M2780" s="4"/>
      <c r="N2780" s="4"/>
      <c r="O2780" s="6"/>
    </row>
    <row r="2781" spans="2:15" s="46" customFormat="1">
      <c r="B2781" s="3"/>
      <c r="C2781" s="3"/>
      <c r="G2781" s="4"/>
      <c r="H2781" s="4"/>
      <c r="I2781" s="4"/>
      <c r="J2781" s="4"/>
      <c r="K2781" s="4"/>
      <c r="L2781" s="4"/>
      <c r="M2781" s="4"/>
      <c r="N2781" s="4"/>
      <c r="O2781" s="6"/>
    </row>
    <row r="2782" spans="2:15" s="46" customFormat="1">
      <c r="B2782" s="3"/>
      <c r="C2782" s="3"/>
      <c r="G2782" s="4"/>
      <c r="H2782" s="4"/>
      <c r="I2782" s="4"/>
      <c r="J2782" s="4"/>
      <c r="K2782" s="4"/>
      <c r="L2782" s="4"/>
      <c r="M2782" s="4"/>
      <c r="N2782" s="4"/>
      <c r="O2782" s="6"/>
    </row>
    <row r="2783" spans="2:15" s="46" customFormat="1">
      <c r="B2783" s="3"/>
      <c r="C2783" s="3"/>
      <c r="G2783" s="4"/>
      <c r="H2783" s="4"/>
      <c r="I2783" s="4"/>
      <c r="J2783" s="4"/>
      <c r="K2783" s="4"/>
      <c r="L2783" s="4"/>
      <c r="M2783" s="4"/>
      <c r="N2783" s="4"/>
      <c r="O2783" s="6"/>
    </row>
    <row r="2784" spans="2:15" s="46" customFormat="1">
      <c r="B2784" s="3"/>
      <c r="C2784" s="3"/>
      <c r="G2784" s="4"/>
      <c r="H2784" s="4"/>
      <c r="I2784" s="4"/>
      <c r="J2784" s="4"/>
      <c r="K2784" s="4"/>
      <c r="L2784" s="4"/>
      <c r="M2784" s="4"/>
      <c r="N2784" s="4"/>
      <c r="O2784" s="6"/>
    </row>
    <row r="2785" spans="2:15" s="46" customFormat="1">
      <c r="B2785" s="3"/>
      <c r="C2785" s="3"/>
      <c r="G2785" s="4"/>
      <c r="H2785" s="4"/>
      <c r="I2785" s="4"/>
      <c r="J2785" s="4"/>
      <c r="K2785" s="4"/>
      <c r="L2785" s="4"/>
      <c r="M2785" s="4"/>
      <c r="N2785" s="4"/>
      <c r="O2785" s="6"/>
    </row>
    <row r="2786" spans="2:15" s="46" customFormat="1">
      <c r="B2786" s="3"/>
      <c r="C2786" s="3"/>
      <c r="G2786" s="4"/>
      <c r="H2786" s="4"/>
      <c r="I2786" s="4"/>
      <c r="J2786" s="4"/>
      <c r="K2786" s="4"/>
      <c r="L2786" s="4"/>
      <c r="M2786" s="4"/>
      <c r="N2786" s="4"/>
      <c r="O2786" s="6"/>
    </row>
    <row r="2787" spans="2:15" s="46" customFormat="1">
      <c r="B2787" s="3"/>
      <c r="C2787" s="3"/>
      <c r="G2787" s="4"/>
      <c r="H2787" s="4"/>
      <c r="I2787" s="4"/>
      <c r="J2787" s="4"/>
      <c r="K2787" s="4"/>
      <c r="L2787" s="4"/>
      <c r="M2787" s="4"/>
      <c r="N2787" s="4"/>
      <c r="O2787" s="6"/>
    </row>
    <row r="2788" spans="2:15" s="46" customFormat="1">
      <c r="B2788" s="3"/>
      <c r="C2788" s="3"/>
      <c r="G2788" s="4"/>
      <c r="H2788" s="4"/>
      <c r="I2788" s="4"/>
      <c r="J2788" s="4"/>
      <c r="K2788" s="4"/>
      <c r="L2788" s="4"/>
      <c r="M2788" s="4"/>
      <c r="N2788" s="4"/>
      <c r="O2788" s="6"/>
    </row>
    <row r="2789" spans="2:15" s="46" customFormat="1">
      <c r="B2789" s="3"/>
      <c r="C2789" s="3"/>
      <c r="G2789" s="4"/>
      <c r="H2789" s="4"/>
      <c r="I2789" s="4"/>
      <c r="J2789" s="4"/>
      <c r="K2789" s="4"/>
      <c r="L2789" s="4"/>
      <c r="M2789" s="4"/>
      <c r="N2789" s="4"/>
      <c r="O2789" s="6"/>
    </row>
    <row r="2790" spans="2:15" s="46" customFormat="1">
      <c r="B2790" s="3"/>
      <c r="C2790" s="3"/>
      <c r="G2790" s="4"/>
      <c r="H2790" s="4"/>
      <c r="I2790" s="4"/>
      <c r="J2790" s="4"/>
      <c r="K2790" s="4"/>
      <c r="L2790" s="4"/>
      <c r="M2790" s="4"/>
      <c r="N2790" s="4"/>
      <c r="O2790" s="6"/>
    </row>
    <row r="2791" spans="2:15" s="46" customFormat="1">
      <c r="B2791" s="3"/>
      <c r="C2791" s="3"/>
      <c r="G2791" s="4"/>
      <c r="H2791" s="4"/>
      <c r="I2791" s="4"/>
      <c r="J2791" s="4"/>
      <c r="K2791" s="4"/>
      <c r="L2791" s="4"/>
      <c r="M2791" s="4"/>
      <c r="N2791" s="4"/>
      <c r="O2791" s="6"/>
    </row>
    <row r="2792" spans="2:15" s="46" customFormat="1">
      <c r="B2792" s="3"/>
      <c r="C2792" s="3"/>
      <c r="G2792" s="4"/>
      <c r="H2792" s="4"/>
      <c r="I2792" s="4"/>
      <c r="J2792" s="4"/>
      <c r="K2792" s="4"/>
      <c r="L2792" s="4"/>
      <c r="M2792" s="4"/>
      <c r="N2792" s="4"/>
      <c r="O2792" s="6"/>
    </row>
    <row r="2793" spans="2:15" s="46" customFormat="1">
      <c r="B2793" s="3"/>
      <c r="C2793" s="3"/>
      <c r="G2793" s="4"/>
      <c r="H2793" s="4"/>
      <c r="I2793" s="4"/>
      <c r="J2793" s="4"/>
      <c r="K2793" s="4"/>
      <c r="L2793" s="4"/>
      <c r="M2793" s="4"/>
      <c r="N2793" s="4"/>
      <c r="O2793" s="6"/>
    </row>
    <row r="2794" spans="2:15" s="46" customFormat="1">
      <c r="B2794" s="3"/>
      <c r="C2794" s="3"/>
      <c r="G2794" s="4"/>
      <c r="H2794" s="4"/>
      <c r="I2794" s="4"/>
      <c r="J2794" s="4"/>
      <c r="K2794" s="4"/>
      <c r="L2794" s="4"/>
      <c r="M2794" s="4"/>
      <c r="N2794" s="4"/>
      <c r="O2794" s="6"/>
    </row>
    <row r="2795" spans="2:15" s="46" customFormat="1">
      <c r="B2795" s="3"/>
      <c r="C2795" s="3"/>
      <c r="G2795" s="4"/>
      <c r="H2795" s="4"/>
      <c r="I2795" s="4"/>
      <c r="J2795" s="4"/>
      <c r="K2795" s="4"/>
      <c r="L2795" s="4"/>
      <c r="M2795" s="4"/>
      <c r="N2795" s="4"/>
      <c r="O2795" s="6"/>
    </row>
    <row r="2796" spans="2:15" s="46" customFormat="1">
      <c r="B2796" s="3"/>
      <c r="C2796" s="3"/>
      <c r="G2796" s="4"/>
      <c r="H2796" s="4"/>
      <c r="I2796" s="4"/>
      <c r="J2796" s="4"/>
      <c r="K2796" s="4"/>
      <c r="L2796" s="4"/>
      <c r="M2796" s="4"/>
      <c r="N2796" s="4"/>
      <c r="O2796" s="6"/>
    </row>
    <row r="2797" spans="2:15" s="46" customFormat="1">
      <c r="B2797" s="3"/>
      <c r="C2797" s="3"/>
      <c r="G2797" s="4"/>
      <c r="H2797" s="4"/>
      <c r="I2797" s="4"/>
      <c r="J2797" s="4"/>
      <c r="K2797" s="4"/>
      <c r="L2797" s="4"/>
      <c r="M2797" s="4"/>
      <c r="N2797" s="4"/>
      <c r="O2797" s="6"/>
    </row>
    <row r="2798" spans="2:15" s="46" customFormat="1">
      <c r="B2798" s="3"/>
      <c r="C2798" s="3"/>
      <c r="G2798" s="4"/>
      <c r="H2798" s="4"/>
      <c r="I2798" s="4"/>
      <c r="J2798" s="4"/>
      <c r="K2798" s="4"/>
      <c r="L2798" s="4"/>
      <c r="M2798" s="4"/>
      <c r="N2798" s="4"/>
      <c r="O2798" s="6"/>
    </row>
    <row r="2799" spans="2:15" s="46" customFormat="1">
      <c r="B2799" s="3"/>
      <c r="C2799" s="3"/>
      <c r="G2799" s="4"/>
      <c r="H2799" s="4"/>
      <c r="I2799" s="4"/>
      <c r="J2799" s="4"/>
      <c r="K2799" s="4"/>
      <c r="L2799" s="4"/>
      <c r="M2799" s="4"/>
      <c r="N2799" s="4"/>
      <c r="O2799" s="6"/>
    </row>
    <row r="2800" spans="2:15" s="46" customFormat="1">
      <c r="B2800" s="3"/>
      <c r="C2800" s="3"/>
      <c r="G2800" s="4"/>
      <c r="H2800" s="4"/>
      <c r="I2800" s="4"/>
      <c r="J2800" s="4"/>
      <c r="K2800" s="4"/>
      <c r="L2800" s="4"/>
      <c r="M2800" s="4"/>
      <c r="N2800" s="4"/>
      <c r="O2800" s="6"/>
    </row>
    <row r="2801" spans="2:15" s="46" customFormat="1">
      <c r="B2801" s="3"/>
      <c r="C2801" s="3"/>
      <c r="G2801" s="4"/>
      <c r="H2801" s="4"/>
      <c r="I2801" s="4"/>
      <c r="J2801" s="4"/>
      <c r="K2801" s="4"/>
      <c r="L2801" s="4"/>
      <c r="M2801" s="4"/>
      <c r="N2801" s="4"/>
      <c r="O2801" s="6"/>
    </row>
    <row r="2802" spans="2:15" s="46" customFormat="1">
      <c r="B2802" s="3"/>
      <c r="C2802" s="3"/>
      <c r="G2802" s="4"/>
      <c r="H2802" s="4"/>
      <c r="I2802" s="4"/>
      <c r="J2802" s="4"/>
      <c r="K2802" s="4"/>
      <c r="L2802" s="4"/>
      <c r="M2802" s="4"/>
      <c r="N2802" s="4"/>
      <c r="O2802" s="6"/>
    </row>
    <row r="2803" spans="2:15" s="46" customFormat="1">
      <c r="B2803" s="3"/>
      <c r="C2803" s="3"/>
      <c r="G2803" s="4"/>
      <c r="H2803" s="4"/>
      <c r="I2803" s="4"/>
      <c r="J2803" s="4"/>
      <c r="K2803" s="4"/>
      <c r="L2803" s="4"/>
      <c r="M2803" s="4"/>
      <c r="N2803" s="4"/>
      <c r="O2803" s="6"/>
    </row>
    <row r="2804" spans="2:15" s="46" customFormat="1">
      <c r="B2804" s="3"/>
      <c r="C2804" s="3"/>
      <c r="G2804" s="4"/>
      <c r="H2804" s="4"/>
      <c r="I2804" s="4"/>
      <c r="J2804" s="4"/>
      <c r="K2804" s="4"/>
      <c r="L2804" s="4"/>
      <c r="M2804" s="4"/>
      <c r="N2804" s="4"/>
      <c r="O2804" s="6"/>
    </row>
    <row r="2805" spans="2:15" s="46" customFormat="1">
      <c r="B2805" s="3"/>
      <c r="C2805" s="3"/>
      <c r="G2805" s="4"/>
      <c r="H2805" s="4"/>
      <c r="I2805" s="4"/>
      <c r="J2805" s="4"/>
      <c r="K2805" s="4"/>
      <c r="L2805" s="4"/>
      <c r="M2805" s="4"/>
      <c r="N2805" s="4"/>
      <c r="O2805" s="6"/>
    </row>
    <row r="2806" spans="2:15" s="46" customFormat="1">
      <c r="B2806" s="3"/>
      <c r="C2806" s="3"/>
      <c r="G2806" s="4"/>
      <c r="H2806" s="4"/>
      <c r="I2806" s="4"/>
      <c r="J2806" s="4"/>
      <c r="K2806" s="4"/>
      <c r="L2806" s="4"/>
      <c r="M2806" s="4"/>
      <c r="N2806" s="4"/>
      <c r="O2806" s="6"/>
    </row>
    <row r="2807" spans="2:15" s="46" customFormat="1">
      <c r="B2807" s="3"/>
      <c r="C2807" s="3"/>
      <c r="G2807" s="4"/>
      <c r="H2807" s="4"/>
      <c r="I2807" s="4"/>
      <c r="J2807" s="4"/>
      <c r="K2807" s="4"/>
      <c r="L2807" s="4"/>
      <c r="M2807" s="4"/>
      <c r="N2807" s="4"/>
      <c r="O2807" s="6"/>
    </row>
    <row r="2808" spans="2:15" s="46" customFormat="1">
      <c r="B2808" s="3"/>
      <c r="C2808" s="3"/>
      <c r="G2808" s="4"/>
      <c r="H2808" s="4"/>
      <c r="I2808" s="4"/>
      <c r="J2808" s="4"/>
      <c r="K2808" s="4"/>
      <c r="L2808" s="4"/>
      <c r="M2808" s="4"/>
      <c r="N2808" s="4"/>
      <c r="O2808" s="6"/>
    </row>
    <row r="2809" spans="2:15" s="46" customFormat="1">
      <c r="B2809" s="3"/>
      <c r="C2809" s="3"/>
      <c r="G2809" s="4"/>
      <c r="H2809" s="4"/>
      <c r="I2809" s="4"/>
      <c r="J2809" s="4"/>
      <c r="K2809" s="4"/>
      <c r="L2809" s="4"/>
      <c r="M2809" s="4"/>
      <c r="N2809" s="4"/>
      <c r="O2809" s="6"/>
    </row>
    <row r="2810" spans="2:15" s="46" customFormat="1">
      <c r="B2810" s="3"/>
      <c r="C2810" s="3"/>
      <c r="G2810" s="4"/>
      <c r="H2810" s="4"/>
      <c r="I2810" s="4"/>
      <c r="J2810" s="4"/>
      <c r="K2810" s="4"/>
      <c r="L2810" s="4"/>
      <c r="M2810" s="4"/>
      <c r="N2810" s="4"/>
      <c r="O2810" s="6"/>
    </row>
    <row r="2811" spans="2:15" s="46" customFormat="1">
      <c r="B2811" s="3"/>
      <c r="C2811" s="3"/>
      <c r="G2811" s="4"/>
      <c r="H2811" s="4"/>
      <c r="I2811" s="4"/>
      <c r="J2811" s="4"/>
      <c r="K2811" s="4"/>
      <c r="L2811" s="4"/>
      <c r="M2811" s="4"/>
      <c r="N2811" s="4"/>
      <c r="O2811" s="6"/>
    </row>
    <row r="2812" spans="2:15" s="46" customFormat="1">
      <c r="B2812" s="3"/>
      <c r="C2812" s="3"/>
      <c r="G2812" s="4"/>
      <c r="H2812" s="4"/>
      <c r="I2812" s="4"/>
      <c r="J2812" s="4"/>
      <c r="K2812" s="4"/>
      <c r="L2812" s="4"/>
      <c r="M2812" s="4"/>
      <c r="N2812" s="4"/>
      <c r="O2812" s="6"/>
    </row>
    <row r="2813" spans="2:15" s="46" customFormat="1">
      <c r="B2813" s="3"/>
      <c r="C2813" s="3"/>
      <c r="G2813" s="4"/>
      <c r="H2813" s="4"/>
      <c r="I2813" s="4"/>
      <c r="J2813" s="4"/>
      <c r="K2813" s="4"/>
      <c r="L2813" s="4"/>
      <c r="M2813" s="4"/>
      <c r="N2813" s="4"/>
      <c r="O2813" s="6"/>
    </row>
    <row r="2814" spans="2:15" s="46" customFormat="1">
      <c r="B2814" s="3"/>
      <c r="C2814" s="3"/>
      <c r="G2814" s="4"/>
      <c r="H2814" s="4"/>
      <c r="I2814" s="4"/>
      <c r="J2814" s="4"/>
      <c r="K2814" s="4"/>
      <c r="L2814" s="4"/>
      <c r="M2814" s="4"/>
      <c r="N2814" s="4"/>
      <c r="O2814" s="6"/>
    </row>
    <row r="2815" spans="2:15" s="46" customFormat="1">
      <c r="B2815" s="3"/>
      <c r="C2815" s="3"/>
      <c r="G2815" s="4"/>
      <c r="H2815" s="4"/>
      <c r="I2815" s="4"/>
      <c r="J2815" s="4"/>
      <c r="K2815" s="4"/>
      <c r="L2815" s="4"/>
      <c r="M2815" s="4"/>
      <c r="N2815" s="4"/>
      <c r="O2815" s="6"/>
    </row>
    <row r="2816" spans="2:15" s="46" customFormat="1">
      <c r="B2816" s="3"/>
      <c r="C2816" s="3"/>
      <c r="G2816" s="4"/>
      <c r="H2816" s="4"/>
      <c r="I2816" s="4"/>
      <c r="J2816" s="4"/>
      <c r="K2816" s="4"/>
      <c r="L2816" s="4"/>
      <c r="M2816" s="4"/>
      <c r="N2816" s="4"/>
      <c r="O2816" s="6"/>
    </row>
    <row r="2817" spans="2:15" s="46" customFormat="1">
      <c r="B2817" s="3"/>
      <c r="C2817" s="3"/>
      <c r="G2817" s="4"/>
      <c r="H2817" s="4"/>
      <c r="I2817" s="4"/>
      <c r="J2817" s="4"/>
      <c r="K2817" s="4"/>
      <c r="L2817" s="4"/>
      <c r="M2817" s="4"/>
      <c r="N2817" s="4"/>
      <c r="O2817" s="6"/>
    </row>
    <row r="2818" spans="2:15" s="46" customFormat="1">
      <c r="B2818" s="3"/>
      <c r="C2818" s="3"/>
      <c r="G2818" s="4"/>
      <c r="H2818" s="4"/>
      <c r="I2818" s="4"/>
      <c r="J2818" s="4"/>
      <c r="K2818" s="4"/>
      <c r="L2818" s="4"/>
      <c r="M2818" s="4"/>
      <c r="N2818" s="4"/>
      <c r="O2818" s="6"/>
    </row>
    <row r="2819" spans="2:15" s="46" customFormat="1">
      <c r="B2819" s="3"/>
      <c r="C2819" s="3"/>
      <c r="G2819" s="4"/>
      <c r="H2819" s="4"/>
      <c r="I2819" s="4"/>
      <c r="J2819" s="4"/>
      <c r="K2819" s="4"/>
      <c r="L2819" s="4"/>
      <c r="M2819" s="4"/>
      <c r="N2819" s="4"/>
      <c r="O2819" s="6"/>
    </row>
    <row r="2820" spans="2:15" s="46" customFormat="1">
      <c r="B2820" s="3"/>
      <c r="C2820" s="3"/>
      <c r="G2820" s="4"/>
      <c r="H2820" s="4"/>
      <c r="I2820" s="4"/>
      <c r="J2820" s="4"/>
      <c r="K2820" s="4"/>
      <c r="L2820" s="4"/>
      <c r="M2820" s="4"/>
      <c r="N2820" s="4"/>
      <c r="O2820" s="6"/>
    </row>
    <row r="2821" spans="2:15" s="46" customFormat="1">
      <c r="B2821" s="3"/>
      <c r="C2821" s="3"/>
      <c r="G2821" s="4"/>
      <c r="H2821" s="4"/>
      <c r="I2821" s="4"/>
      <c r="J2821" s="4"/>
      <c r="K2821" s="4"/>
      <c r="L2821" s="4"/>
      <c r="M2821" s="4"/>
      <c r="N2821" s="4"/>
      <c r="O2821" s="6"/>
    </row>
    <row r="2822" spans="2:15" s="46" customFormat="1">
      <c r="B2822" s="3"/>
      <c r="C2822" s="3"/>
      <c r="G2822" s="4"/>
      <c r="H2822" s="4"/>
      <c r="I2822" s="4"/>
      <c r="J2822" s="4"/>
      <c r="K2822" s="4"/>
      <c r="L2822" s="4"/>
      <c r="M2822" s="4"/>
      <c r="N2822" s="4"/>
      <c r="O2822" s="6"/>
    </row>
    <row r="2823" spans="2:15" s="46" customFormat="1">
      <c r="B2823" s="3"/>
      <c r="C2823" s="3"/>
      <c r="G2823" s="4"/>
      <c r="H2823" s="4"/>
      <c r="I2823" s="4"/>
      <c r="J2823" s="4"/>
      <c r="K2823" s="4"/>
      <c r="L2823" s="4"/>
      <c r="M2823" s="4"/>
      <c r="N2823" s="4"/>
      <c r="O2823" s="6"/>
    </row>
    <row r="2824" spans="2:15" s="46" customFormat="1">
      <c r="B2824" s="3"/>
      <c r="C2824" s="3"/>
      <c r="G2824" s="4"/>
      <c r="H2824" s="4"/>
      <c r="I2824" s="4"/>
      <c r="J2824" s="4"/>
      <c r="K2824" s="4"/>
      <c r="L2824" s="4"/>
      <c r="M2824" s="4"/>
      <c r="N2824" s="4"/>
      <c r="O2824" s="6"/>
    </row>
    <row r="2825" spans="2:15" s="46" customFormat="1">
      <c r="B2825" s="3"/>
      <c r="C2825" s="3"/>
      <c r="G2825" s="4"/>
      <c r="H2825" s="4"/>
      <c r="I2825" s="4"/>
      <c r="J2825" s="4"/>
      <c r="K2825" s="4"/>
      <c r="L2825" s="4"/>
      <c r="M2825" s="4"/>
      <c r="N2825" s="4"/>
      <c r="O2825" s="6"/>
    </row>
    <row r="2826" spans="2:15" s="46" customFormat="1">
      <c r="B2826" s="3"/>
      <c r="C2826" s="3"/>
      <c r="G2826" s="4"/>
      <c r="H2826" s="4"/>
      <c r="I2826" s="4"/>
      <c r="J2826" s="4"/>
      <c r="K2826" s="4"/>
      <c r="L2826" s="4"/>
      <c r="M2826" s="4"/>
      <c r="N2826" s="4"/>
      <c r="O2826" s="6"/>
    </row>
    <row r="2827" spans="2:15" s="46" customFormat="1">
      <c r="B2827" s="3"/>
      <c r="C2827" s="3"/>
      <c r="G2827" s="4"/>
      <c r="H2827" s="4"/>
      <c r="I2827" s="4"/>
      <c r="J2827" s="4"/>
      <c r="K2827" s="4"/>
      <c r="L2827" s="4"/>
      <c r="M2827" s="4"/>
      <c r="N2827" s="4"/>
      <c r="O2827" s="6"/>
    </row>
    <row r="2828" spans="2:15" s="46" customFormat="1">
      <c r="B2828" s="3"/>
      <c r="C2828" s="3"/>
      <c r="G2828" s="4"/>
      <c r="H2828" s="4"/>
      <c r="I2828" s="4"/>
      <c r="J2828" s="4"/>
      <c r="K2828" s="4"/>
      <c r="L2828" s="4"/>
      <c r="M2828" s="4"/>
      <c r="N2828" s="4"/>
      <c r="O2828" s="6"/>
    </row>
    <row r="2829" spans="2:15" s="46" customFormat="1">
      <c r="B2829" s="3"/>
      <c r="C2829" s="3"/>
      <c r="G2829" s="4"/>
      <c r="H2829" s="4"/>
      <c r="I2829" s="4"/>
      <c r="J2829" s="4"/>
      <c r="K2829" s="4"/>
      <c r="L2829" s="4"/>
      <c r="M2829" s="4"/>
      <c r="N2829" s="4"/>
      <c r="O2829" s="6"/>
    </row>
    <row r="2830" spans="2:15" s="46" customFormat="1">
      <c r="B2830" s="3"/>
      <c r="C2830" s="3"/>
      <c r="G2830" s="4"/>
      <c r="H2830" s="4"/>
      <c r="I2830" s="4"/>
      <c r="J2830" s="4"/>
      <c r="K2830" s="4"/>
      <c r="L2830" s="4"/>
      <c r="M2830" s="4"/>
      <c r="N2830" s="4"/>
      <c r="O2830" s="6"/>
    </row>
    <row r="2831" spans="2:15" s="46" customFormat="1">
      <c r="B2831" s="3"/>
      <c r="C2831" s="3"/>
      <c r="G2831" s="4"/>
      <c r="H2831" s="4"/>
      <c r="I2831" s="4"/>
      <c r="J2831" s="4"/>
      <c r="K2831" s="4"/>
      <c r="L2831" s="4"/>
      <c r="M2831" s="4"/>
      <c r="N2831" s="4"/>
      <c r="O2831" s="6"/>
    </row>
    <row r="2832" spans="2:15" s="46" customFormat="1">
      <c r="B2832" s="3"/>
      <c r="C2832" s="3"/>
      <c r="G2832" s="4"/>
      <c r="H2832" s="4"/>
      <c r="I2832" s="4"/>
      <c r="J2832" s="4"/>
      <c r="K2832" s="4"/>
      <c r="L2832" s="4"/>
      <c r="M2832" s="4"/>
      <c r="N2832" s="4"/>
      <c r="O2832" s="6"/>
    </row>
    <row r="2833" spans="2:15" s="46" customFormat="1">
      <c r="B2833" s="3"/>
      <c r="C2833" s="3"/>
      <c r="G2833" s="4"/>
      <c r="H2833" s="4"/>
      <c r="I2833" s="4"/>
      <c r="J2833" s="4"/>
      <c r="K2833" s="4"/>
      <c r="L2833" s="4"/>
      <c r="M2833" s="4"/>
      <c r="N2833" s="4"/>
      <c r="O2833" s="6"/>
    </row>
    <row r="2834" spans="2:15" s="46" customFormat="1">
      <c r="B2834" s="3"/>
      <c r="C2834" s="3"/>
      <c r="G2834" s="4"/>
      <c r="H2834" s="4"/>
      <c r="I2834" s="4"/>
      <c r="J2834" s="4"/>
      <c r="K2834" s="4"/>
      <c r="L2834" s="4"/>
      <c r="M2834" s="4"/>
      <c r="N2834" s="4"/>
      <c r="O2834" s="6"/>
    </row>
    <row r="2835" spans="2:15" s="46" customFormat="1">
      <c r="B2835" s="3"/>
      <c r="C2835" s="3"/>
      <c r="G2835" s="4"/>
      <c r="H2835" s="4"/>
      <c r="I2835" s="4"/>
      <c r="J2835" s="4"/>
      <c r="K2835" s="4"/>
      <c r="L2835" s="4"/>
      <c r="M2835" s="4"/>
      <c r="N2835" s="4"/>
      <c r="O2835" s="6"/>
    </row>
    <row r="2836" spans="2:15" s="46" customFormat="1">
      <c r="B2836" s="3"/>
      <c r="C2836" s="3"/>
      <c r="G2836" s="4"/>
      <c r="H2836" s="4"/>
      <c r="I2836" s="4"/>
      <c r="J2836" s="4"/>
      <c r="K2836" s="4"/>
      <c r="L2836" s="4"/>
      <c r="M2836" s="4"/>
      <c r="N2836" s="4"/>
      <c r="O2836" s="6"/>
    </row>
    <row r="2837" spans="2:15" s="46" customFormat="1">
      <c r="B2837" s="3"/>
      <c r="C2837" s="3"/>
      <c r="G2837" s="4"/>
      <c r="H2837" s="4"/>
      <c r="I2837" s="4"/>
      <c r="J2837" s="4"/>
      <c r="K2837" s="4"/>
      <c r="L2837" s="4"/>
      <c r="M2837" s="4"/>
      <c r="N2837" s="4"/>
      <c r="O2837" s="6"/>
    </row>
    <row r="2838" spans="2:15" s="46" customFormat="1">
      <c r="B2838" s="3"/>
      <c r="C2838" s="3"/>
      <c r="G2838" s="4"/>
      <c r="H2838" s="4"/>
      <c r="I2838" s="4"/>
      <c r="J2838" s="4"/>
      <c r="K2838" s="4"/>
      <c r="L2838" s="4"/>
      <c r="M2838" s="4"/>
      <c r="N2838" s="4"/>
      <c r="O2838" s="6"/>
    </row>
    <row r="2839" spans="2:15" s="46" customFormat="1">
      <c r="B2839" s="3"/>
      <c r="C2839" s="3"/>
      <c r="G2839" s="4"/>
      <c r="H2839" s="4"/>
      <c r="I2839" s="4"/>
      <c r="J2839" s="4"/>
      <c r="K2839" s="4"/>
      <c r="L2839" s="4"/>
      <c r="M2839" s="4"/>
      <c r="N2839" s="4"/>
      <c r="O2839" s="6"/>
    </row>
    <row r="2840" spans="2:15" s="46" customFormat="1">
      <c r="B2840" s="3"/>
      <c r="C2840" s="3"/>
      <c r="G2840" s="4"/>
      <c r="H2840" s="4"/>
      <c r="I2840" s="4"/>
      <c r="J2840" s="4"/>
      <c r="K2840" s="4"/>
      <c r="L2840" s="4"/>
      <c r="M2840" s="4"/>
      <c r="N2840" s="4"/>
      <c r="O2840" s="6"/>
    </row>
    <row r="2841" spans="2:15" s="46" customFormat="1">
      <c r="B2841" s="3"/>
      <c r="C2841" s="3"/>
      <c r="G2841" s="4"/>
      <c r="H2841" s="4"/>
      <c r="I2841" s="4"/>
      <c r="J2841" s="4"/>
      <c r="K2841" s="4"/>
      <c r="L2841" s="4"/>
      <c r="M2841" s="4"/>
      <c r="N2841" s="4"/>
      <c r="O2841" s="6"/>
    </row>
    <row r="2842" spans="2:15" s="46" customFormat="1">
      <c r="B2842" s="3"/>
      <c r="C2842" s="3"/>
      <c r="G2842" s="4"/>
      <c r="H2842" s="4"/>
      <c r="I2842" s="4"/>
      <c r="J2842" s="4"/>
      <c r="K2842" s="4"/>
      <c r="L2842" s="4"/>
      <c r="M2842" s="4"/>
      <c r="N2842" s="4"/>
      <c r="O2842" s="6"/>
    </row>
  </sheetData>
  <mergeCells count="4">
    <mergeCell ref="A1:F1"/>
    <mergeCell ref="G1:I1"/>
    <mergeCell ref="J1:L1"/>
    <mergeCell ref="M1:O1"/>
  </mergeCells>
  <conditionalFormatting sqref="G3:H12">
    <cfRule type="expression" dxfId="220" priority="141">
      <formula>#REF!</formula>
    </cfRule>
    <cfRule type="expression" dxfId="219" priority="140">
      <formula>#REF!</formula>
    </cfRule>
    <cfRule type="cellIs" dxfId="218" priority="139" operator="equal">
      <formula>#REF!</formula>
    </cfRule>
  </conditionalFormatting>
  <conditionalFormatting sqref="G3:H18">
    <cfRule type="cellIs" dxfId="217" priority="142" operator="equal">
      <formula>#REF!</formula>
    </cfRule>
    <cfRule type="expression" dxfId="216" priority="138">
      <formula>#REF!</formula>
    </cfRule>
    <cfRule type="expression" dxfId="215" priority="131">
      <formula>#REF!</formula>
    </cfRule>
  </conditionalFormatting>
  <conditionalFormatting sqref="G9:H12">
    <cfRule type="expression" dxfId="214" priority="137">
      <formula>#REF!</formula>
    </cfRule>
  </conditionalFormatting>
  <conditionalFormatting sqref="G10:H12">
    <cfRule type="cellIs" dxfId="213" priority="136" operator="equal">
      <formula>#REF!</formula>
    </cfRule>
    <cfRule type="expression" dxfId="212" priority="135">
      <formula>#REF!</formula>
    </cfRule>
  </conditionalFormatting>
  <conditionalFormatting sqref="G10:H13">
    <cfRule type="expression" dxfId="211" priority="134">
      <formula>#REF!</formula>
    </cfRule>
    <cfRule type="cellIs" dxfId="210" priority="133" operator="equal">
      <formula>#REF!</formula>
    </cfRule>
    <cfRule type="expression" dxfId="209" priority="132">
      <formula>#REF!</formula>
    </cfRule>
  </conditionalFormatting>
  <conditionalFormatting sqref="G12:H13">
    <cfRule type="cellIs" dxfId="208" priority="130" operator="equal">
      <formula>#REF!</formula>
    </cfRule>
    <cfRule type="expression" dxfId="207" priority="129">
      <formula>#REF!</formula>
    </cfRule>
    <cfRule type="expression" dxfId="206" priority="128">
      <formula>#REF!</formula>
    </cfRule>
  </conditionalFormatting>
  <conditionalFormatting sqref="G13:H18">
    <cfRule type="expression" dxfId="205" priority="126">
      <formula>#REF!</formula>
    </cfRule>
    <cfRule type="expression" dxfId="204" priority="125">
      <formula>#REF!</formula>
    </cfRule>
    <cfRule type="cellIs" dxfId="203" priority="127" operator="equal">
      <formula>#REF!</formula>
    </cfRule>
  </conditionalFormatting>
  <conditionalFormatting sqref="G17:H18">
    <cfRule type="cellIs" dxfId="202" priority="145" operator="equal">
      <formula>#REF!</formula>
    </cfRule>
    <cfRule type="expression" dxfId="201" priority="144">
      <formula>#REF!</formula>
    </cfRule>
    <cfRule type="expression" dxfId="200" priority="143">
      <formula>#REF!</formula>
    </cfRule>
  </conditionalFormatting>
  <conditionalFormatting sqref="G21:H21">
    <cfRule type="containsText" dxfId="199" priority="120" operator="containsText" text="False">
      <formula>NOT(ISERROR(SEARCH("False",G21)))</formula>
    </cfRule>
  </conditionalFormatting>
  <conditionalFormatting sqref="G24:H24 G29:H72">
    <cfRule type="expression" dxfId="198" priority="124">
      <formula>#REF!</formula>
    </cfRule>
    <cfRule type="expression" dxfId="197" priority="123">
      <formula>#REF!</formula>
    </cfRule>
    <cfRule type="cellIs" dxfId="196" priority="122" operator="equal">
      <formula>#REF!</formula>
    </cfRule>
  </conditionalFormatting>
  <conditionalFormatting sqref="G24:H24">
    <cfRule type="expression" dxfId="195" priority="121">
      <formula>#REF!</formula>
    </cfRule>
  </conditionalFormatting>
  <conditionalFormatting sqref="I3:I72 L3:L72 O3:O72">
    <cfRule type="cellIs" dxfId="194" priority="11717" operator="greaterThan">
      <formula>0</formula>
    </cfRule>
    <cfRule type="cellIs" dxfId="193" priority="11718" operator="lessThan">
      <formula>0</formula>
    </cfRule>
  </conditionalFormatting>
  <conditionalFormatting sqref="J6">
    <cfRule type="containsText" dxfId="192" priority="96" operator="containsText" text="1-Jan-2025">
      <formula>NOT(ISERROR(SEARCH("1-Jan-2025",J6)))</formula>
    </cfRule>
  </conditionalFormatting>
  <conditionalFormatting sqref="J6:J9">
    <cfRule type="expression" dxfId="191" priority="8">
      <formula>#REF!</formula>
    </cfRule>
    <cfRule type="expression" dxfId="190" priority="9">
      <formula>#REF!</formula>
    </cfRule>
    <cfRule type="cellIs" dxfId="189" priority="10" operator="equal">
      <formula>#REF!</formula>
    </cfRule>
  </conditionalFormatting>
  <conditionalFormatting sqref="J29:J72">
    <cfRule type="cellIs" dxfId="188" priority="19" operator="equal">
      <formula>#REF!</formula>
    </cfRule>
    <cfRule type="expression" dxfId="187" priority="18">
      <formula>#REF!</formula>
    </cfRule>
    <cfRule type="expression" dxfId="186" priority="17">
      <formula>#REF!</formula>
    </cfRule>
  </conditionalFormatting>
  <conditionalFormatting sqref="J7:K7">
    <cfRule type="cellIs" dxfId="185" priority="106" operator="equal">
      <formula>#REF!</formula>
    </cfRule>
    <cfRule type="expression" dxfId="184" priority="105">
      <formula>#REF!</formula>
    </cfRule>
    <cfRule type="expression" dxfId="183" priority="104">
      <formula>#REF!</formula>
    </cfRule>
  </conditionalFormatting>
  <conditionalFormatting sqref="J8:K9">
    <cfRule type="expression" dxfId="182" priority="6">
      <formula>#REF!</formula>
    </cfRule>
    <cfRule type="cellIs" dxfId="181" priority="7" operator="equal">
      <formula>#REF!</formula>
    </cfRule>
  </conditionalFormatting>
  <conditionalFormatting sqref="J8:K28">
    <cfRule type="expression" dxfId="180" priority="5">
      <formula>#REF!</formula>
    </cfRule>
  </conditionalFormatting>
  <conditionalFormatting sqref="J9:K9">
    <cfRule type="expression" dxfId="179" priority="107">
      <formula>#REF!</formula>
    </cfRule>
  </conditionalFormatting>
  <conditionalFormatting sqref="J9:K10">
    <cfRule type="cellIs" dxfId="178" priority="109" operator="equal">
      <formula>#REF!</formula>
    </cfRule>
    <cfRule type="expression" dxfId="177" priority="108">
      <formula>#REF!</formula>
    </cfRule>
  </conditionalFormatting>
  <conditionalFormatting sqref="J10:K10">
    <cfRule type="containsText" dxfId="176" priority="212" operator="containsText" text="1-Jan-2025">
      <formula>NOT(ISERROR(SEARCH("1-Jan-2025",J10)))</formula>
    </cfRule>
  </conditionalFormatting>
  <conditionalFormatting sqref="J11:K72">
    <cfRule type="cellIs" dxfId="175" priority="16" operator="equal">
      <formula>#REF!</formula>
    </cfRule>
    <cfRule type="expression" dxfId="174" priority="15">
      <formula>#REF!</formula>
    </cfRule>
  </conditionalFormatting>
  <conditionalFormatting sqref="J29:K72">
    <cfRule type="expression" dxfId="173" priority="20">
      <formula>#REF!</formula>
    </cfRule>
  </conditionalFormatting>
  <conditionalFormatting sqref="J54:K72">
    <cfRule type="expression" dxfId="172" priority="11">
      <formula>#REF!</formula>
    </cfRule>
  </conditionalFormatting>
  <conditionalFormatting sqref="J55:K72">
    <cfRule type="expression" dxfId="171" priority="14">
      <formula>#REF!</formula>
    </cfRule>
    <cfRule type="cellIs" dxfId="170" priority="13" operator="equal">
      <formula>#REF!</formula>
    </cfRule>
    <cfRule type="expression" dxfId="169" priority="12">
      <formula>#REF!</formula>
    </cfRule>
  </conditionalFormatting>
  <conditionalFormatting sqref="K7:K9">
    <cfRule type="expression" dxfId="168" priority="101">
      <formula>#REF!</formula>
    </cfRule>
    <cfRule type="expression" dxfId="167" priority="102">
      <formula>#REF!</formula>
    </cfRule>
    <cfRule type="cellIs" dxfId="166" priority="103" operator="equal">
      <formula>#REF!</formula>
    </cfRule>
  </conditionalFormatting>
  <conditionalFormatting sqref="K29:K72">
    <cfRule type="expression" dxfId="165" priority="117">
      <formula>#REF!</formula>
    </cfRule>
    <cfRule type="cellIs" dxfId="164" priority="118" operator="equal">
      <formula>#REF!</formula>
    </cfRule>
    <cfRule type="expression" dxfId="163" priority="119">
      <formula>#REF!</formula>
    </cfRule>
  </conditionalFormatting>
  <conditionalFormatting sqref="M55:M71">
    <cfRule type="expression" dxfId="162" priority="4">
      <formula>#REF!</formula>
    </cfRule>
    <cfRule type="cellIs" dxfId="161" priority="3" operator="equal">
      <formula>#REF!</formula>
    </cfRule>
    <cfRule type="expression" dxfId="160" priority="2">
      <formula>#REF!</formula>
    </cfRule>
  </conditionalFormatting>
  <conditionalFormatting sqref="M3:N6">
    <cfRule type="expression" dxfId="159" priority="63">
      <formula>#REF!</formula>
    </cfRule>
    <cfRule type="cellIs" dxfId="158" priority="61" operator="equal">
      <formula>#REF!</formula>
    </cfRule>
    <cfRule type="expression" dxfId="157" priority="1">
      <formula>#REF!</formula>
    </cfRule>
    <cfRule type="expression" dxfId="156" priority="65">
      <formula>#REF!</formula>
    </cfRule>
    <cfRule type="containsText" dxfId="155" priority="62" operator="containsText" text="1-Jan-2025">
      <formula>NOT(ISERROR(SEARCH("1-Jan-2025",M3)))</formula>
    </cfRule>
  </conditionalFormatting>
  <conditionalFormatting sqref="M4:N4">
    <cfRule type="cellIs" dxfId="154" priority="66" operator="equal">
      <formula>#REF!</formula>
    </cfRule>
    <cfRule type="containsText" dxfId="153" priority="67" operator="containsText" text="1-Jan-2025">
      <formula>NOT(ISERROR(SEARCH("1-Jan-2025",M4)))</formula>
    </cfRule>
    <cfRule type="expression" dxfId="152" priority="68">
      <formula>#REF!</formula>
    </cfRule>
  </conditionalFormatting>
  <conditionalFormatting sqref="M7:N10">
    <cfRule type="containsText" dxfId="151" priority="64" operator="containsText" text="False">
      <formula>NOT(ISERROR(SEARCH("False",M7)))</formula>
    </cfRule>
  </conditionalFormatting>
  <conditionalFormatting sqref="M11:N27">
    <cfRule type="containsText" dxfId="150" priority="87" operator="containsText" text="1-Jan-2025">
      <formula>NOT(ISERROR(SEARCH("1-Jan-2025",M11)))</formula>
    </cfRule>
    <cfRule type="expression" dxfId="149" priority="88">
      <formula>#REF!</formula>
    </cfRule>
  </conditionalFormatting>
  <conditionalFormatting sqref="M11:N54">
    <cfRule type="expression" dxfId="148" priority="69">
      <formula>#REF!</formula>
    </cfRule>
    <cfRule type="expression" dxfId="147" priority="81">
      <formula>#REF!</formula>
    </cfRule>
    <cfRule type="cellIs" dxfId="146" priority="82" operator="equal">
      <formula>#REF!</formula>
    </cfRule>
  </conditionalFormatting>
  <conditionalFormatting sqref="M29:N71">
    <cfRule type="expression" dxfId="145" priority="83">
      <formula>#REF!</formula>
    </cfRule>
  </conditionalFormatting>
  <conditionalFormatting sqref="M54:N54">
    <cfRule type="expression" dxfId="144" priority="78">
      <formula>#REF!</formula>
    </cfRule>
    <cfRule type="expression" dxfId="143" priority="80">
      <formula>#REF!</formula>
    </cfRule>
    <cfRule type="cellIs" dxfId="142" priority="79" operator="equal">
      <formula>#REF!</formula>
    </cfRule>
  </conditionalFormatting>
  <conditionalFormatting sqref="M55:N71 M29:N53">
    <cfRule type="containsText" dxfId="141" priority="92" operator="containsText" text="1-Jan-2025">
      <formula>NOT(ISERROR(SEARCH("1-Jan-2025",M29)))</formula>
    </cfRule>
  </conditionalFormatting>
  <conditionalFormatting sqref="M72:N72">
    <cfRule type="expression" dxfId="140" priority="76">
      <formula>#REF!</formula>
    </cfRule>
    <cfRule type="cellIs" dxfId="139" priority="75" operator="equal">
      <formula>#REF!</formula>
    </cfRule>
    <cfRule type="expression" dxfId="138" priority="74">
      <formula>#REF!</formula>
    </cfRule>
    <cfRule type="expression" dxfId="137" priority="73">
      <formula>#REF!</formula>
    </cfRule>
    <cfRule type="cellIs" dxfId="136" priority="72" operator="equal">
      <formula>#REF!</formula>
    </cfRule>
    <cfRule type="expression" dxfId="135" priority="71">
      <formula>#REF!</formula>
    </cfRule>
    <cfRule type="expression" dxfId="134" priority="70">
      <formula>#REF!</formula>
    </cfRule>
  </conditionalFormatting>
  <conditionalFormatting sqref="N55:N71">
    <cfRule type="expression" dxfId="133" priority="89">
      <formula>#REF!</formula>
    </cfRule>
    <cfRule type="cellIs" dxfId="132" priority="90" operator="equal">
      <formula>#REF!</formula>
    </cfRule>
    <cfRule type="expression" dxfId="131" priority="91">
      <formula>#REF!</formula>
    </cfRule>
  </conditionalFormatting>
  <conditionalFormatting sqref="U1">
    <cfRule type="expression" dxfId="130" priority="396">
      <formula>#REF!</formula>
    </cfRule>
    <cfRule type="expression" dxfId="129" priority="397">
      <formula>#REF!</formula>
    </cfRule>
    <cfRule type="cellIs" dxfId="128" priority="398" operator="equal">
      <formula>#REF!</formula>
    </cfRule>
  </conditionalFormatting>
  <conditionalFormatting sqref="U1:U2">
    <cfRule type="expression" dxfId="127" priority="399">
      <formula>#REF!</formula>
    </cfRule>
    <cfRule type="expression" dxfId="126" priority="400">
      <formula>#REF!</formula>
    </cfRule>
    <cfRule type="cellIs" dxfId="125" priority="401" operator="equal">
      <formula>#REF!</formula>
    </cfRule>
  </conditionalFormatting>
  <conditionalFormatting sqref="U2">
    <cfRule type="containsText" dxfId="124" priority="404" operator="containsText" text="1-Jan-2025">
      <formula>NOT(ISERROR(SEARCH("1-Jan-2025",U2)))</formula>
    </cfRule>
  </conditionalFormatting>
  <pageMargins left="0.7" right="0.7" top="0.75" bottom="0.75" header="0.3" footer="0.3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719677-2FD9-924C-A987-874E4D44767B}">
  <sheetPr codeName="Sheet4"/>
  <dimension ref="B1:R70"/>
  <sheetViews>
    <sheetView showGridLines="0" zoomScale="130" zoomScaleNormal="130" workbookViewId="0">
      <pane xSplit="4" ySplit="3" topLeftCell="E4" activePane="bottomRight" state="frozen"/>
      <selection activeCell="I22" sqref="I22"/>
      <selection pane="topRight" activeCell="I22" sqref="I22"/>
      <selection pane="bottomLeft" activeCell="I22" sqref="I22"/>
      <selection pane="bottomRight" activeCell="B3" sqref="B3"/>
    </sheetView>
  </sheetViews>
  <sheetFormatPr baseColWidth="10" defaultColWidth="14.83203125" defaultRowHeight="16" customHeight="1"/>
  <cols>
    <col min="1" max="1" width="3.1640625" style="3" customWidth="1"/>
    <col min="2" max="2" width="16.5" style="3" bestFit="1" customWidth="1"/>
    <col min="3" max="3" width="9.1640625" style="3" customWidth="1"/>
    <col min="4" max="5" width="8.83203125" style="3" customWidth="1"/>
    <col min="6" max="6" width="10.1640625" style="3" customWidth="1"/>
    <col min="7" max="7" width="8.1640625" style="3" customWidth="1"/>
    <col min="8" max="8" width="11.1640625" style="3" customWidth="1"/>
    <col min="9" max="9" width="10.83203125" style="3" customWidth="1"/>
    <col min="10" max="10" width="10.5" style="3" customWidth="1"/>
    <col min="11" max="11" width="11.1640625" style="3" customWidth="1"/>
    <col min="12" max="12" width="12.33203125" style="3" customWidth="1"/>
    <col min="13" max="13" width="11" style="3" customWidth="1"/>
    <col min="14" max="14" width="51" style="4" customWidth="1"/>
    <col min="15" max="15" width="6.83203125" style="3" customWidth="1"/>
    <col min="16" max="16384" width="14.83203125" style="3"/>
  </cols>
  <sheetData>
    <row r="1" spans="2:18" ht="16" customHeight="1">
      <c r="B1" s="62"/>
    </row>
    <row r="2" spans="2:18" ht="16" customHeight="1">
      <c r="B2" s="346" t="s">
        <v>622</v>
      </c>
      <c r="C2" s="346"/>
      <c r="D2" s="346"/>
      <c r="E2" s="346"/>
      <c r="F2" s="346"/>
      <c r="G2" s="346"/>
      <c r="H2" s="346"/>
      <c r="I2" s="346"/>
      <c r="J2" s="346"/>
      <c r="K2" s="346"/>
      <c r="L2" s="346"/>
      <c r="M2" s="346"/>
      <c r="N2" s="346"/>
    </row>
    <row r="3" spans="2:18" ht="70">
      <c r="B3" s="36" t="s">
        <v>210</v>
      </c>
      <c r="C3" s="36" t="s">
        <v>211</v>
      </c>
      <c r="D3" s="36" t="s">
        <v>212</v>
      </c>
      <c r="E3" s="36" t="s">
        <v>409</v>
      </c>
      <c r="F3" s="36" t="s">
        <v>247</v>
      </c>
      <c r="G3" s="36" t="s">
        <v>248</v>
      </c>
      <c r="H3" s="36" t="s">
        <v>213</v>
      </c>
      <c r="I3" s="36" t="s">
        <v>279</v>
      </c>
      <c r="J3" s="36" t="s">
        <v>214</v>
      </c>
      <c r="K3" s="36" t="s">
        <v>388</v>
      </c>
      <c r="L3" s="36" t="s">
        <v>249</v>
      </c>
      <c r="M3" s="36" t="s">
        <v>250</v>
      </c>
      <c r="N3" s="36" t="s">
        <v>21</v>
      </c>
      <c r="P3" s="311"/>
      <c r="Q3" s="144"/>
      <c r="R3" s="144"/>
    </row>
    <row r="4" spans="2:18" ht="56">
      <c r="B4" s="37" t="s">
        <v>286</v>
      </c>
      <c r="C4" s="37">
        <v>8</v>
      </c>
      <c r="D4" s="314">
        <f>(221-20-25-40-40)</f>
        <v>96</v>
      </c>
      <c r="E4" s="38">
        <f t="shared" ref="E4:E13" si="0">ROUND(D4*5/7,0)</f>
        <v>69</v>
      </c>
      <c r="F4" s="54">
        <v>0.9</v>
      </c>
      <c r="G4" s="39">
        <v>0.98499999999999999</v>
      </c>
      <c r="H4" s="190">
        <f t="shared" ref="H4:H31" si="1">(D4*C4*F4)</f>
        <v>691.2</v>
      </c>
      <c r="I4" s="40">
        <v>1967.2</v>
      </c>
      <c r="J4" s="40">
        <v>7263.4666666666672</v>
      </c>
      <c r="K4" s="40">
        <v>0</v>
      </c>
      <c r="L4" s="41">
        <f t="shared" ref="L4:L8" si="2">(I4+J4+K4)</f>
        <v>9230.6666666666679</v>
      </c>
      <c r="M4" s="41">
        <f>IF(L4&gt;0,(L4-H4))</f>
        <v>8539.4666666666672</v>
      </c>
      <c r="N4" s="136" t="s">
        <v>623</v>
      </c>
      <c r="Q4" s="299"/>
      <c r="R4" s="144"/>
    </row>
    <row r="5" spans="2:18" ht="42">
      <c r="B5" s="37" t="s">
        <v>287</v>
      </c>
      <c r="C5" s="37">
        <v>20</v>
      </c>
      <c r="D5" s="314">
        <f>(221*G5)</f>
        <v>217.685</v>
      </c>
      <c r="E5" s="38">
        <f t="shared" si="0"/>
        <v>155</v>
      </c>
      <c r="F5" s="54">
        <v>0.9</v>
      </c>
      <c r="G5" s="39">
        <v>0.98499999999999999</v>
      </c>
      <c r="H5" s="190">
        <f t="shared" si="1"/>
        <v>3918.33</v>
      </c>
      <c r="I5" s="40">
        <v>1271.0666666666666</v>
      </c>
      <c r="J5" s="40">
        <v>3627.7333333333336</v>
      </c>
      <c r="K5" s="40">
        <v>0</v>
      </c>
      <c r="L5" s="41">
        <f t="shared" si="2"/>
        <v>4898.8</v>
      </c>
      <c r="M5" s="41">
        <f t="shared" ref="M5:M31" si="3">IF(M4&gt;0,(M4+L5-H5),(L5-H5))</f>
        <v>9519.9366666666665</v>
      </c>
      <c r="N5" s="136" t="s">
        <v>624</v>
      </c>
      <c r="Q5" s="144"/>
      <c r="R5" s="144"/>
    </row>
    <row r="6" spans="2:18" ht="16" customHeight="1">
      <c r="B6" s="37" t="s">
        <v>288</v>
      </c>
      <c r="C6" s="37">
        <v>20</v>
      </c>
      <c r="D6" s="38">
        <f t="shared" ref="D6:D14" si="4">(D5*G6)</f>
        <v>214.419725</v>
      </c>
      <c r="E6" s="38">
        <f t="shared" si="0"/>
        <v>153</v>
      </c>
      <c r="F6" s="54">
        <v>0.9</v>
      </c>
      <c r="G6" s="39">
        <v>0.98499999999999999</v>
      </c>
      <c r="H6" s="190">
        <f t="shared" si="1"/>
        <v>3859.5550500000004</v>
      </c>
      <c r="I6" s="40">
        <v>978</v>
      </c>
      <c r="J6" s="40">
        <v>3444.6666666666665</v>
      </c>
      <c r="K6" s="40">
        <v>0</v>
      </c>
      <c r="L6" s="41">
        <f t="shared" si="2"/>
        <v>4422.6666666666661</v>
      </c>
      <c r="M6" s="41">
        <f t="shared" si="3"/>
        <v>10083.048283333332</v>
      </c>
      <c r="N6" s="136" t="s">
        <v>7</v>
      </c>
      <c r="Q6" s="144"/>
      <c r="R6" s="144"/>
    </row>
    <row r="7" spans="2:18" ht="14">
      <c r="B7" s="37" t="s">
        <v>289</v>
      </c>
      <c r="C7" s="37">
        <v>22</v>
      </c>
      <c r="D7" s="38">
        <f t="shared" si="4"/>
        <v>211.20342912499999</v>
      </c>
      <c r="E7" s="38">
        <f t="shared" si="0"/>
        <v>151</v>
      </c>
      <c r="F7" s="54">
        <v>0.9</v>
      </c>
      <c r="G7" s="39">
        <v>0.98499999999999999</v>
      </c>
      <c r="H7" s="190">
        <f t="shared" si="1"/>
        <v>4181.8278966749995</v>
      </c>
      <c r="I7" s="40">
        <v>0</v>
      </c>
      <c r="J7" s="40">
        <v>2709.2</v>
      </c>
      <c r="K7" s="40">
        <v>0</v>
      </c>
      <c r="L7" s="41">
        <f t="shared" si="2"/>
        <v>2709.2</v>
      </c>
      <c r="M7" s="41">
        <f t="shared" si="3"/>
        <v>8610.4203866583302</v>
      </c>
      <c r="N7" s="136" t="s">
        <v>7</v>
      </c>
      <c r="Q7" s="144"/>
      <c r="R7" s="144"/>
    </row>
    <row r="8" spans="2:18" ht="16" customHeight="1">
      <c r="B8" s="37" t="s">
        <v>295</v>
      </c>
      <c r="C8" s="37">
        <v>18</v>
      </c>
      <c r="D8" s="38">
        <f t="shared" si="4"/>
        <v>208.03537768812498</v>
      </c>
      <c r="E8" s="196">
        <f t="shared" si="0"/>
        <v>149</v>
      </c>
      <c r="F8" s="54">
        <v>0.9</v>
      </c>
      <c r="G8" s="39">
        <v>0.98499999999999999</v>
      </c>
      <c r="H8" s="190">
        <f t="shared" si="1"/>
        <v>3370.1731185476247</v>
      </c>
      <c r="I8" s="40">
        <v>0</v>
      </c>
      <c r="J8" s="40">
        <v>4431.8666666666668</v>
      </c>
      <c r="K8" s="40">
        <v>0</v>
      </c>
      <c r="L8" s="41">
        <f t="shared" si="2"/>
        <v>4431.8666666666668</v>
      </c>
      <c r="M8" s="41">
        <f t="shared" si="3"/>
        <v>9672.1139347773715</v>
      </c>
      <c r="N8" s="136" t="s">
        <v>7</v>
      </c>
      <c r="Q8" s="144"/>
      <c r="R8" s="144"/>
    </row>
    <row r="9" spans="2:18">
      <c r="B9" s="37" t="s">
        <v>296</v>
      </c>
      <c r="C9" s="37">
        <v>20</v>
      </c>
      <c r="D9" s="38">
        <f t="shared" si="4"/>
        <v>204.91484702280312</v>
      </c>
      <c r="E9" s="196">
        <f t="shared" ref="E9" si="5">ROUND(D9*5/7,0)</f>
        <v>146</v>
      </c>
      <c r="F9" s="54">
        <v>0.9</v>
      </c>
      <c r="G9" s="39">
        <v>0.98499999999999999</v>
      </c>
      <c r="H9" s="190">
        <f t="shared" si="1"/>
        <v>3688.4672464104565</v>
      </c>
      <c r="I9" s="40">
        <v>0</v>
      </c>
      <c r="J9" s="40">
        <v>4189.2</v>
      </c>
      <c r="K9" s="40">
        <v>0</v>
      </c>
      <c r="L9" s="41">
        <f t="shared" ref="L9" si="6">(I9+J9+K9)</f>
        <v>4189.2</v>
      </c>
      <c r="M9" s="41">
        <f t="shared" si="3"/>
        <v>10172.846688366915</v>
      </c>
      <c r="N9" s="136" t="s">
        <v>7</v>
      </c>
      <c r="Q9" s="144"/>
      <c r="R9" s="144"/>
    </row>
    <row r="10" spans="2:18">
      <c r="B10" s="37" t="s">
        <v>364</v>
      </c>
      <c r="C10" s="37">
        <v>22</v>
      </c>
      <c r="D10" s="38">
        <f t="shared" si="4"/>
        <v>201.84112431746107</v>
      </c>
      <c r="E10" s="196">
        <f t="shared" si="0"/>
        <v>144</v>
      </c>
      <c r="F10" s="54">
        <v>0.9</v>
      </c>
      <c r="G10" s="39">
        <v>0.98499999999999999</v>
      </c>
      <c r="H10" s="190">
        <f t="shared" si="1"/>
        <v>3996.4542614857291</v>
      </c>
      <c r="I10" s="40">
        <v>0</v>
      </c>
      <c r="J10" s="40">
        <v>0</v>
      </c>
      <c r="K10" s="40">
        <v>0</v>
      </c>
      <c r="L10" s="41">
        <f t="shared" ref="L10:L31" si="7">(I10+J10+K10)</f>
        <v>0</v>
      </c>
      <c r="M10" s="41">
        <f t="shared" si="3"/>
        <v>6176.3924268811861</v>
      </c>
      <c r="N10" s="136" t="s">
        <v>7</v>
      </c>
      <c r="Q10" s="144"/>
      <c r="R10" s="144"/>
    </row>
    <row r="11" spans="2:18">
      <c r="B11" s="37" t="s">
        <v>365</v>
      </c>
      <c r="C11" s="37">
        <v>19</v>
      </c>
      <c r="D11" s="315">
        <f>(D10*G11)-15</f>
        <v>183.81350745269916</v>
      </c>
      <c r="E11" s="196">
        <f t="shared" si="0"/>
        <v>131</v>
      </c>
      <c r="F11" s="54">
        <v>0.9</v>
      </c>
      <c r="G11" s="39">
        <v>0.98499999999999999</v>
      </c>
      <c r="H11" s="190">
        <f t="shared" si="1"/>
        <v>3143.2109774411556</v>
      </c>
      <c r="I11" s="40">
        <v>0</v>
      </c>
      <c r="J11" s="40">
        <v>0</v>
      </c>
      <c r="K11" s="40">
        <v>0</v>
      </c>
      <c r="L11" s="41">
        <f t="shared" si="7"/>
        <v>0</v>
      </c>
      <c r="M11" s="41">
        <f t="shared" si="3"/>
        <v>3033.1814494400305</v>
      </c>
      <c r="N11" s="136" t="s">
        <v>565</v>
      </c>
      <c r="Q11" s="144"/>
      <c r="R11" s="144"/>
    </row>
    <row r="12" spans="2:18">
      <c r="B12" s="37" t="s">
        <v>366</v>
      </c>
      <c r="C12" s="37">
        <v>22</v>
      </c>
      <c r="D12" s="314">
        <f>(D11*G12)+15</f>
        <v>196.05630484090867</v>
      </c>
      <c r="E12" s="196">
        <f t="shared" si="0"/>
        <v>140</v>
      </c>
      <c r="F12" s="54">
        <v>0.9</v>
      </c>
      <c r="G12" s="39">
        <v>0.98499999999999999</v>
      </c>
      <c r="H12" s="190">
        <f t="shared" si="1"/>
        <v>3881.9148358499915</v>
      </c>
      <c r="I12" s="40">
        <v>0</v>
      </c>
      <c r="J12" s="40">
        <v>0</v>
      </c>
      <c r="K12" s="40">
        <v>0</v>
      </c>
      <c r="L12" s="41">
        <f t="shared" si="7"/>
        <v>0</v>
      </c>
      <c r="M12" s="41">
        <f t="shared" si="3"/>
        <v>-848.73338640996099</v>
      </c>
      <c r="N12" s="136" t="s">
        <v>566</v>
      </c>
      <c r="Q12" s="144"/>
      <c r="R12" s="144"/>
    </row>
    <row r="13" spans="2:18">
      <c r="B13" s="8" t="s">
        <v>370</v>
      </c>
      <c r="C13" s="37">
        <v>21</v>
      </c>
      <c r="D13" s="38">
        <f t="shared" si="4"/>
        <v>193.11546026829504</v>
      </c>
      <c r="E13" s="196">
        <f t="shared" si="0"/>
        <v>138</v>
      </c>
      <c r="F13" s="54">
        <v>0.9</v>
      </c>
      <c r="G13" s="39">
        <v>0.98499999999999999</v>
      </c>
      <c r="H13" s="190">
        <f t="shared" si="1"/>
        <v>3649.8821990707761</v>
      </c>
      <c r="I13" s="40">
        <v>0</v>
      </c>
      <c r="J13" s="40">
        <v>0</v>
      </c>
      <c r="K13" s="40">
        <v>0</v>
      </c>
      <c r="L13" s="41">
        <f t="shared" si="7"/>
        <v>0</v>
      </c>
      <c r="M13" s="41">
        <f t="shared" si="3"/>
        <v>-3649.8821990707761</v>
      </c>
      <c r="N13" s="136" t="s">
        <v>542</v>
      </c>
      <c r="Q13" s="144"/>
      <c r="R13" s="144"/>
    </row>
    <row r="14" spans="2:18">
      <c r="B14" s="8" t="s">
        <v>371</v>
      </c>
      <c r="C14" s="37">
        <v>22</v>
      </c>
      <c r="D14" s="38">
        <f t="shared" si="4"/>
        <v>190.21872836427062</v>
      </c>
      <c r="E14" s="196">
        <f t="shared" ref="E14:E31" si="8">ROUND(D14*5/7,0)</f>
        <v>136</v>
      </c>
      <c r="F14" s="54">
        <v>0.9</v>
      </c>
      <c r="G14" s="39">
        <v>0.98499999999999999</v>
      </c>
      <c r="H14" s="190">
        <f t="shared" si="1"/>
        <v>3766.3308216125579</v>
      </c>
      <c r="I14" s="40">
        <v>202.53333333333336</v>
      </c>
      <c r="J14" s="40">
        <v>0</v>
      </c>
      <c r="K14" s="40">
        <v>31.6</v>
      </c>
      <c r="L14" s="41">
        <f t="shared" si="7"/>
        <v>234.13333333333335</v>
      </c>
      <c r="M14" s="41">
        <f t="shared" si="3"/>
        <v>-3532.1974882792247</v>
      </c>
      <c r="N14" s="136" t="s">
        <v>7</v>
      </c>
      <c r="Q14" s="144"/>
      <c r="R14" s="144"/>
    </row>
    <row r="15" spans="2:18">
      <c r="B15" s="8" t="s">
        <v>377</v>
      </c>
      <c r="C15" s="37">
        <v>22</v>
      </c>
      <c r="D15" s="38">
        <f t="shared" ref="D15:D31" si="9">(D14*G15)</f>
        <v>187.36544743880657</v>
      </c>
      <c r="E15" s="196">
        <f t="shared" si="8"/>
        <v>134</v>
      </c>
      <c r="F15" s="54">
        <v>0.9</v>
      </c>
      <c r="G15" s="39">
        <v>0.98499999999999999</v>
      </c>
      <c r="H15" s="190">
        <f t="shared" si="1"/>
        <v>3709.8358592883701</v>
      </c>
      <c r="I15" s="40">
        <v>346.13333333333333</v>
      </c>
      <c r="J15" s="40">
        <v>0</v>
      </c>
      <c r="K15" s="40">
        <v>54</v>
      </c>
      <c r="L15" s="41">
        <f t="shared" si="7"/>
        <v>400.13333333333333</v>
      </c>
      <c r="M15" s="41">
        <f t="shared" si="3"/>
        <v>-3309.7025259550369</v>
      </c>
      <c r="N15" s="136" t="s">
        <v>7</v>
      </c>
      <c r="Q15" s="144"/>
      <c r="R15" s="144"/>
    </row>
    <row r="16" spans="2:18">
      <c r="B16" s="1" t="s">
        <v>524</v>
      </c>
      <c r="C16" s="37">
        <v>21</v>
      </c>
      <c r="D16" s="38">
        <f t="shared" si="9"/>
        <v>184.55496572722447</v>
      </c>
      <c r="E16" s="196">
        <f t="shared" si="8"/>
        <v>132</v>
      </c>
      <c r="F16" s="54">
        <v>0.9</v>
      </c>
      <c r="G16" s="39">
        <v>0.98499999999999999</v>
      </c>
      <c r="H16" s="190">
        <f t="shared" si="1"/>
        <v>3488.0888522445425</v>
      </c>
      <c r="I16" s="40">
        <v>1701.3333333333335</v>
      </c>
      <c r="J16" s="40">
        <v>0</v>
      </c>
      <c r="K16" s="40">
        <v>265.73333333333335</v>
      </c>
      <c r="L16" s="41">
        <f t="shared" si="7"/>
        <v>1967.0666666666668</v>
      </c>
      <c r="M16" s="41">
        <f t="shared" si="3"/>
        <v>-1521.0221855778757</v>
      </c>
      <c r="N16" s="136" t="s">
        <v>7</v>
      </c>
      <c r="Q16" s="144"/>
      <c r="R16" s="144"/>
    </row>
    <row r="17" spans="2:18">
      <c r="B17" s="1" t="s">
        <v>525</v>
      </c>
      <c r="C17" s="37">
        <v>20</v>
      </c>
      <c r="D17" s="38">
        <f t="shared" si="9"/>
        <v>181.78664124131609</v>
      </c>
      <c r="E17" s="196">
        <f t="shared" si="8"/>
        <v>130</v>
      </c>
      <c r="F17" s="54">
        <v>0.9</v>
      </c>
      <c r="G17" s="39">
        <v>0.98499999999999999</v>
      </c>
      <c r="H17" s="190">
        <f t="shared" si="1"/>
        <v>3272.1595423436897</v>
      </c>
      <c r="I17" s="40">
        <v>1502</v>
      </c>
      <c r="J17" s="40">
        <v>0</v>
      </c>
      <c r="K17" s="40">
        <v>234.53333333333333</v>
      </c>
      <c r="L17" s="41">
        <f t="shared" si="7"/>
        <v>1736.5333333333333</v>
      </c>
      <c r="M17" s="41">
        <f t="shared" si="3"/>
        <v>-1535.6262090103564</v>
      </c>
      <c r="N17" s="136" t="s">
        <v>7</v>
      </c>
      <c r="Q17" s="144"/>
      <c r="R17" s="144"/>
    </row>
    <row r="18" spans="2:18">
      <c r="B18" s="1" t="s">
        <v>526</v>
      </c>
      <c r="C18" s="37">
        <v>21</v>
      </c>
      <c r="D18" s="38">
        <f t="shared" si="9"/>
        <v>179.05984162269635</v>
      </c>
      <c r="E18" s="196">
        <f t="shared" si="8"/>
        <v>128</v>
      </c>
      <c r="F18" s="54">
        <v>0.9</v>
      </c>
      <c r="G18" s="39">
        <v>0.98499999999999999</v>
      </c>
      <c r="H18" s="190">
        <f t="shared" si="1"/>
        <v>3384.2310066689611</v>
      </c>
      <c r="I18" s="40">
        <v>1202.1333333333332</v>
      </c>
      <c r="J18" s="40">
        <v>81.066666666666663</v>
      </c>
      <c r="K18" s="40">
        <v>187.86666666666667</v>
      </c>
      <c r="L18" s="41">
        <f t="shared" si="7"/>
        <v>1471.0666666666666</v>
      </c>
      <c r="M18" s="41">
        <f t="shared" si="3"/>
        <v>-1913.1643400022945</v>
      </c>
      <c r="N18" s="136" t="s">
        <v>7</v>
      </c>
      <c r="Q18" s="144"/>
      <c r="R18" s="144"/>
    </row>
    <row r="19" spans="2:18">
      <c r="B19" s="1" t="s">
        <v>527</v>
      </c>
      <c r="C19" s="37">
        <v>23</v>
      </c>
      <c r="D19" s="315">
        <f>(D18*G19)-15</f>
        <v>161.37394399835591</v>
      </c>
      <c r="E19" s="196">
        <f t="shared" si="8"/>
        <v>115</v>
      </c>
      <c r="F19" s="54">
        <v>0.9</v>
      </c>
      <c r="G19" s="39">
        <v>0.98499999999999999</v>
      </c>
      <c r="H19" s="190">
        <f t="shared" si="1"/>
        <v>3340.4406407659671</v>
      </c>
      <c r="I19" s="40">
        <v>412</v>
      </c>
      <c r="J19" s="40">
        <v>138.26666666666668</v>
      </c>
      <c r="K19" s="40">
        <v>64.400000000000006</v>
      </c>
      <c r="L19" s="41">
        <f t="shared" si="7"/>
        <v>614.66666666666663</v>
      </c>
      <c r="M19" s="41">
        <f t="shared" si="3"/>
        <v>-2725.7739740993006</v>
      </c>
      <c r="N19" s="136" t="s">
        <v>567</v>
      </c>
      <c r="Q19" s="144"/>
      <c r="R19" s="144"/>
    </row>
    <row r="20" spans="2:18">
      <c r="B20" s="1" t="s">
        <v>528</v>
      </c>
      <c r="C20" s="37">
        <v>19</v>
      </c>
      <c r="D20" s="314">
        <f>(D19*G20)+15</f>
        <v>173.95333483838058</v>
      </c>
      <c r="E20" s="196">
        <f t="shared" si="8"/>
        <v>124</v>
      </c>
      <c r="F20" s="54">
        <v>0.9</v>
      </c>
      <c r="G20" s="39">
        <v>0.98499999999999999</v>
      </c>
      <c r="H20" s="190">
        <f t="shared" si="1"/>
        <v>2974.602025736308</v>
      </c>
      <c r="I20" s="40">
        <v>968.26666666666665</v>
      </c>
      <c r="J20" s="40">
        <v>679.4666666666667</v>
      </c>
      <c r="K20" s="40">
        <v>151.19999999999999</v>
      </c>
      <c r="L20" s="41">
        <f t="shared" si="7"/>
        <v>1798.9333333333334</v>
      </c>
      <c r="M20" s="41">
        <f t="shared" si="3"/>
        <v>-1175.6686924029746</v>
      </c>
      <c r="N20" s="136" t="s">
        <v>566</v>
      </c>
      <c r="Q20" s="144"/>
      <c r="R20" s="144"/>
    </row>
    <row r="21" spans="2:18">
      <c r="B21" s="8" t="s">
        <v>529</v>
      </c>
      <c r="C21" s="37">
        <v>21</v>
      </c>
      <c r="D21" s="38">
        <f t="shared" si="9"/>
        <v>171.34403481580486</v>
      </c>
      <c r="E21" s="196">
        <f t="shared" si="8"/>
        <v>122</v>
      </c>
      <c r="F21" s="54">
        <v>0.9</v>
      </c>
      <c r="G21" s="39">
        <v>0.98499999999999999</v>
      </c>
      <c r="H21" s="190">
        <f t="shared" si="1"/>
        <v>3238.402258018712</v>
      </c>
      <c r="I21" s="40">
        <v>1024.6666666666667</v>
      </c>
      <c r="J21" s="40">
        <v>255.2</v>
      </c>
      <c r="K21" s="40">
        <v>160</v>
      </c>
      <c r="L21" s="41">
        <f t="shared" si="7"/>
        <v>1439.8666666666668</v>
      </c>
      <c r="M21" s="41">
        <f t="shared" si="3"/>
        <v>-1798.5355913520452</v>
      </c>
      <c r="N21" s="136" t="s">
        <v>7</v>
      </c>
      <c r="Q21" s="144"/>
      <c r="R21" s="144"/>
    </row>
    <row r="22" spans="2:18">
      <c r="B22" s="8" t="s">
        <v>530</v>
      </c>
      <c r="C22" s="42">
        <v>23</v>
      </c>
      <c r="D22" s="38">
        <f t="shared" si="9"/>
        <v>168.77387429356779</v>
      </c>
      <c r="E22" s="196">
        <f t="shared" si="8"/>
        <v>121</v>
      </c>
      <c r="F22" s="54">
        <v>0.9</v>
      </c>
      <c r="G22" s="39">
        <v>0.98499999999999999</v>
      </c>
      <c r="H22" s="190">
        <f t="shared" si="1"/>
        <v>3493.6191978768534</v>
      </c>
      <c r="I22" s="40">
        <v>1262.9333333333334</v>
      </c>
      <c r="J22" s="40">
        <v>345.33333333333337</v>
      </c>
      <c r="K22" s="40">
        <v>202</v>
      </c>
      <c r="L22" s="41">
        <f t="shared" si="7"/>
        <v>1810.2666666666669</v>
      </c>
      <c r="M22" s="41">
        <f t="shared" si="3"/>
        <v>-1683.3525312101865</v>
      </c>
      <c r="N22" s="136" t="s">
        <v>7</v>
      </c>
      <c r="Q22" s="144"/>
      <c r="R22" s="144"/>
    </row>
    <row r="23" spans="2:18">
      <c r="B23" s="8" t="s">
        <v>531</v>
      </c>
      <c r="C23" s="37">
        <v>19</v>
      </c>
      <c r="D23" s="38">
        <f t="shared" si="9"/>
        <v>166.24226617916426</v>
      </c>
      <c r="E23" s="196">
        <f t="shared" si="8"/>
        <v>119</v>
      </c>
      <c r="F23" s="54">
        <v>0.9</v>
      </c>
      <c r="G23" s="39">
        <v>0.98499999999999999</v>
      </c>
      <c r="H23" s="190">
        <f t="shared" si="1"/>
        <v>2842.742751663709</v>
      </c>
      <c r="I23" s="40">
        <v>1459.3333333333335</v>
      </c>
      <c r="J23" s="40">
        <v>480.5333333333333</v>
      </c>
      <c r="K23" s="40">
        <v>228</v>
      </c>
      <c r="L23" s="41">
        <f t="shared" si="7"/>
        <v>2167.8666666666668</v>
      </c>
      <c r="M23" s="41">
        <f t="shared" si="3"/>
        <v>-674.8760849970422</v>
      </c>
      <c r="N23" s="136" t="s">
        <v>7</v>
      </c>
      <c r="Q23" s="144"/>
      <c r="R23" s="144"/>
    </row>
    <row r="24" spans="2:18">
      <c r="B24" s="8" t="s">
        <v>532</v>
      </c>
      <c r="C24" s="42">
        <v>22</v>
      </c>
      <c r="D24" s="38">
        <f t="shared" si="9"/>
        <v>163.74863218647678</v>
      </c>
      <c r="E24" s="196">
        <f t="shared" si="8"/>
        <v>117</v>
      </c>
      <c r="F24" s="54">
        <v>0.9</v>
      </c>
      <c r="G24" s="39">
        <v>0.98499999999999999</v>
      </c>
      <c r="H24" s="190">
        <f t="shared" si="1"/>
        <v>3242.2229172922403</v>
      </c>
      <c r="I24" s="40">
        <v>525.20000000000005</v>
      </c>
      <c r="J24" s="40">
        <v>551.6</v>
      </c>
      <c r="K24" s="40">
        <v>112.26666666666667</v>
      </c>
      <c r="L24" s="41">
        <f t="shared" si="7"/>
        <v>1189.0666666666668</v>
      </c>
      <c r="M24" s="41">
        <f t="shared" si="3"/>
        <v>-2053.1562506255732</v>
      </c>
      <c r="N24" s="136" t="s">
        <v>7</v>
      </c>
      <c r="Q24" s="144"/>
      <c r="R24" s="144"/>
    </row>
    <row r="25" spans="2:18">
      <c r="B25" s="8" t="s">
        <v>533</v>
      </c>
      <c r="C25" s="37">
        <v>21</v>
      </c>
      <c r="D25" s="38">
        <f t="shared" si="9"/>
        <v>161.29240270367964</v>
      </c>
      <c r="E25" s="196">
        <f t="shared" si="8"/>
        <v>115</v>
      </c>
      <c r="F25" s="54">
        <v>0.9</v>
      </c>
      <c r="G25" s="39">
        <v>0.98499999999999999</v>
      </c>
      <c r="H25" s="190">
        <f t="shared" si="1"/>
        <v>3048.4264110995455</v>
      </c>
      <c r="I25" s="40">
        <v>689.33333333333326</v>
      </c>
      <c r="J25" s="40">
        <v>671.73333333333335</v>
      </c>
      <c r="K25" s="40">
        <v>173.73333333333335</v>
      </c>
      <c r="L25" s="41">
        <f t="shared" si="7"/>
        <v>1534.8</v>
      </c>
      <c r="M25" s="41">
        <f t="shared" si="3"/>
        <v>-1513.6264110995455</v>
      </c>
      <c r="N25" s="136" t="s">
        <v>7</v>
      </c>
      <c r="Q25" s="144"/>
      <c r="R25" s="144"/>
    </row>
    <row r="26" spans="2:18">
      <c r="B26" s="8" t="s">
        <v>534</v>
      </c>
      <c r="C26" s="37">
        <v>21</v>
      </c>
      <c r="D26" s="38">
        <f t="shared" si="9"/>
        <v>158.87301666312445</v>
      </c>
      <c r="E26" s="196">
        <f t="shared" si="8"/>
        <v>113</v>
      </c>
      <c r="F26" s="54">
        <v>0.9</v>
      </c>
      <c r="G26" s="39">
        <v>0.98499999999999999</v>
      </c>
      <c r="H26" s="190">
        <f t="shared" si="1"/>
        <v>3002.700014933052</v>
      </c>
      <c r="I26" s="40">
        <v>724.93333333333339</v>
      </c>
      <c r="J26" s="40">
        <v>710.8</v>
      </c>
      <c r="K26" s="40">
        <v>182.4</v>
      </c>
      <c r="L26" s="41">
        <f t="shared" si="7"/>
        <v>1618.1333333333334</v>
      </c>
      <c r="M26" s="41">
        <f t="shared" si="3"/>
        <v>-1384.5666815997185</v>
      </c>
      <c r="N26" s="136" t="s">
        <v>7</v>
      </c>
      <c r="Q26" s="144"/>
      <c r="R26" s="144"/>
    </row>
    <row r="27" spans="2:18">
      <c r="B27" s="8" t="s">
        <v>535</v>
      </c>
      <c r="C27" s="42">
        <v>22</v>
      </c>
      <c r="D27" s="38">
        <f t="shared" si="9"/>
        <v>156.48992141317757</v>
      </c>
      <c r="E27" s="196">
        <f t="shared" si="8"/>
        <v>112</v>
      </c>
      <c r="F27" s="54">
        <v>0.9</v>
      </c>
      <c r="G27" s="39">
        <v>0.98499999999999999</v>
      </c>
      <c r="H27" s="190">
        <f t="shared" si="1"/>
        <v>3098.5004439809159</v>
      </c>
      <c r="I27" s="40">
        <v>217.2</v>
      </c>
      <c r="J27" s="40">
        <v>717.73333333333323</v>
      </c>
      <c r="K27" s="40">
        <v>54.666666666666671</v>
      </c>
      <c r="L27" s="41">
        <f t="shared" si="7"/>
        <v>989.5999999999998</v>
      </c>
      <c r="M27" s="41">
        <f t="shared" si="3"/>
        <v>-2108.900443980916</v>
      </c>
      <c r="N27" s="136" t="s">
        <v>7</v>
      </c>
      <c r="Q27" s="144"/>
      <c r="R27" s="144"/>
    </row>
    <row r="28" spans="2:18">
      <c r="B28" s="8" t="s">
        <v>536</v>
      </c>
      <c r="C28" s="37">
        <v>20</v>
      </c>
      <c r="D28" s="38">
        <f t="shared" si="9"/>
        <v>154.1425725919799</v>
      </c>
      <c r="E28" s="196">
        <f t="shared" si="8"/>
        <v>110</v>
      </c>
      <c r="F28" s="54">
        <v>0.9</v>
      </c>
      <c r="G28" s="39">
        <v>0.98499999999999999</v>
      </c>
      <c r="H28" s="190">
        <f t="shared" si="1"/>
        <v>2774.5663066556381</v>
      </c>
      <c r="I28" s="40">
        <v>0</v>
      </c>
      <c r="J28" s="40">
        <v>1607.7333333333336</v>
      </c>
      <c r="K28" s="40">
        <v>0</v>
      </c>
      <c r="L28" s="41">
        <f t="shared" si="7"/>
        <v>1607.7333333333336</v>
      </c>
      <c r="M28" s="41">
        <f t="shared" si="3"/>
        <v>-1166.8329733223045</v>
      </c>
      <c r="N28" s="136" t="s">
        <v>583</v>
      </c>
      <c r="Q28" s="144"/>
      <c r="R28" s="144"/>
    </row>
    <row r="29" spans="2:18">
      <c r="B29" s="8" t="s">
        <v>537</v>
      </c>
      <c r="C29" s="37">
        <v>20</v>
      </c>
      <c r="D29" s="38">
        <f t="shared" si="9"/>
        <v>151.83043400310021</v>
      </c>
      <c r="E29" s="196">
        <f t="shared" si="8"/>
        <v>108</v>
      </c>
      <c r="F29" s="54">
        <v>0.9</v>
      </c>
      <c r="G29" s="39">
        <v>0.98499999999999999</v>
      </c>
      <c r="H29" s="190">
        <f t="shared" si="1"/>
        <v>2732.9478120558038</v>
      </c>
      <c r="I29" s="40">
        <v>0</v>
      </c>
      <c r="J29" s="40">
        <v>1385.6</v>
      </c>
      <c r="K29" s="40">
        <v>0</v>
      </c>
      <c r="L29" s="41">
        <f t="shared" si="7"/>
        <v>1385.6</v>
      </c>
      <c r="M29" s="41">
        <f t="shared" si="3"/>
        <v>-1347.3478120558038</v>
      </c>
      <c r="N29" s="136" t="s">
        <v>7</v>
      </c>
      <c r="Q29" s="144"/>
      <c r="R29" s="144"/>
    </row>
    <row r="30" spans="2:18">
      <c r="B30" s="8" t="s">
        <v>538</v>
      </c>
      <c r="C30" s="37">
        <v>22</v>
      </c>
      <c r="D30" s="38">
        <f t="shared" si="9"/>
        <v>149.5529774930537</v>
      </c>
      <c r="E30" s="196">
        <f t="shared" si="8"/>
        <v>107</v>
      </c>
      <c r="F30" s="54">
        <v>0.9</v>
      </c>
      <c r="G30" s="39">
        <v>0.98499999999999999</v>
      </c>
      <c r="H30" s="190">
        <f t="shared" si="1"/>
        <v>2961.1489543624634</v>
      </c>
      <c r="I30" s="40">
        <v>0</v>
      </c>
      <c r="J30" s="40">
        <v>529.06666666666661</v>
      </c>
      <c r="K30" s="40">
        <v>0</v>
      </c>
      <c r="L30" s="41">
        <f t="shared" si="7"/>
        <v>529.06666666666661</v>
      </c>
      <c r="M30" s="41">
        <f t="shared" si="3"/>
        <v>-2432.0822876957968</v>
      </c>
      <c r="N30" s="136" t="s">
        <v>7</v>
      </c>
      <c r="Q30" s="144"/>
      <c r="R30" s="144"/>
    </row>
    <row r="31" spans="2:18">
      <c r="B31" s="8" t="s">
        <v>539</v>
      </c>
      <c r="C31" s="37">
        <v>3</v>
      </c>
      <c r="D31" s="38">
        <f t="shared" si="9"/>
        <v>147.30968283065789</v>
      </c>
      <c r="E31" s="196">
        <f t="shared" si="8"/>
        <v>105</v>
      </c>
      <c r="F31" s="54">
        <v>0.9</v>
      </c>
      <c r="G31" s="39">
        <v>0.98499999999999999</v>
      </c>
      <c r="H31" s="190">
        <f t="shared" si="1"/>
        <v>397.73614364277631</v>
      </c>
      <c r="I31" s="40">
        <v>0</v>
      </c>
      <c r="J31" s="40">
        <v>0</v>
      </c>
      <c r="K31" s="40">
        <v>0</v>
      </c>
      <c r="L31" s="41">
        <f t="shared" si="7"/>
        <v>0</v>
      </c>
      <c r="M31" s="41">
        <f t="shared" si="3"/>
        <v>-397.73614364277631</v>
      </c>
      <c r="N31" s="136" t="s">
        <v>582</v>
      </c>
      <c r="Q31" s="144"/>
      <c r="R31" s="144"/>
    </row>
    <row r="32" spans="2:18" ht="16" customHeight="1">
      <c r="C32" s="42"/>
      <c r="D32" s="43"/>
      <c r="E32" s="43"/>
      <c r="G32" s="44"/>
      <c r="H32" s="28" t="s">
        <v>209</v>
      </c>
      <c r="I32" s="34">
        <f>SUM(I4:I31)</f>
        <v>16454.26666666667</v>
      </c>
      <c r="J32" s="34">
        <f t="shared" ref="J32:K32" si="10">SUM(J4:J31)</f>
        <v>33820.266666666663</v>
      </c>
      <c r="K32" s="34">
        <f t="shared" si="10"/>
        <v>2102.4</v>
      </c>
      <c r="L32" s="28" t="s">
        <v>360</v>
      </c>
      <c r="M32" s="41">
        <f>SUMIF(M4:M31,"&lt;0")</f>
        <v>-36772.784212389502</v>
      </c>
    </row>
    <row r="33" spans="2:14" ht="16" customHeight="1">
      <c r="B33" s="42"/>
      <c r="C33" s="42"/>
      <c r="D33" s="43"/>
      <c r="E33" s="43"/>
      <c r="G33" s="44"/>
      <c r="H33" s="44"/>
      <c r="K33" s="26"/>
      <c r="M33" s="7"/>
    </row>
    <row r="34" spans="2:14" ht="16" customHeight="1">
      <c r="B34" s="27" t="s">
        <v>215</v>
      </c>
      <c r="C34" s="18">
        <f>SUM(L4:L31)</f>
        <v>52376.933333333342</v>
      </c>
      <c r="D34" s="45"/>
      <c r="E34" s="45"/>
      <c r="G34" s="137"/>
      <c r="H34" s="137"/>
      <c r="I34" s="137"/>
      <c r="K34" s="181"/>
      <c r="M34" s="7"/>
      <c r="N34" s="133"/>
    </row>
    <row r="35" spans="2:14" ht="16" customHeight="1">
      <c r="B35" s="27" t="s">
        <v>216</v>
      </c>
      <c r="C35" s="18">
        <f>SUM(H4:H31)</f>
        <v>89149.71754572283</v>
      </c>
      <c r="D35" s="43"/>
      <c r="E35" s="43"/>
      <c r="H35" s="137"/>
      <c r="I35" s="137"/>
      <c r="K35" s="181"/>
      <c r="L35" s="26"/>
      <c r="N35" s="133"/>
    </row>
    <row r="36" spans="2:14" ht="16" customHeight="1">
      <c r="B36" s="27" t="s">
        <v>263</v>
      </c>
      <c r="C36" s="18">
        <f>C35-C34</f>
        <v>36772.784212389488</v>
      </c>
      <c r="H36" s="26"/>
      <c r="I36" s="137"/>
      <c r="J36" s="26"/>
      <c r="K36" s="26"/>
      <c r="L36" s="26"/>
      <c r="N36" s="133"/>
    </row>
    <row r="37" spans="2:14" ht="16" customHeight="1">
      <c r="B37" s="142"/>
      <c r="C37" s="143"/>
      <c r="H37" s="26"/>
      <c r="I37" s="137"/>
      <c r="J37" s="26"/>
      <c r="K37" s="26"/>
      <c r="N37" s="133"/>
    </row>
    <row r="38" spans="2:14" ht="16" customHeight="1">
      <c r="B38" s="142"/>
      <c r="C38" s="143"/>
      <c r="H38" s="26"/>
      <c r="I38" s="137"/>
      <c r="J38" s="26"/>
      <c r="K38" s="26"/>
      <c r="M38" s="26"/>
      <c r="N38" s="133"/>
    </row>
    <row r="39" spans="2:14" ht="16" customHeight="1">
      <c r="B39" s="142"/>
      <c r="C39" s="143"/>
      <c r="H39" s="26"/>
      <c r="I39" s="26"/>
      <c r="J39" s="26"/>
      <c r="K39" s="26"/>
      <c r="N39" s="133"/>
    </row>
    <row r="40" spans="2:14" ht="16" customHeight="1">
      <c r="B40" s="142"/>
      <c r="C40" s="143"/>
      <c r="G40" s="137"/>
      <c r="H40" s="26"/>
      <c r="I40" s="26"/>
      <c r="J40" s="26"/>
      <c r="K40" s="26"/>
      <c r="N40" s="133"/>
    </row>
    <row r="41" spans="2:14" ht="16" customHeight="1">
      <c r="B41" s="142"/>
      <c r="C41" s="143"/>
      <c r="I41" s="26"/>
      <c r="J41" s="26"/>
      <c r="K41" s="26"/>
      <c r="N41" s="133"/>
    </row>
    <row r="42" spans="2:14" ht="16" customHeight="1">
      <c r="B42" s="142"/>
      <c r="C42" s="143"/>
      <c r="I42" s="26"/>
      <c r="J42" s="26"/>
      <c r="K42" s="26"/>
      <c r="N42" s="133"/>
    </row>
    <row r="43" spans="2:14" ht="16" customHeight="1">
      <c r="B43" s="142"/>
      <c r="C43" s="143"/>
      <c r="G43" s="137"/>
      <c r="H43" s="26"/>
      <c r="I43" s="26"/>
      <c r="J43" s="26"/>
      <c r="K43" s="26"/>
      <c r="N43" s="133"/>
    </row>
    <row r="44" spans="2:14" ht="16" customHeight="1">
      <c r="B44" s="142"/>
      <c r="C44" s="143"/>
      <c r="G44" s="137"/>
      <c r="H44" s="26"/>
      <c r="I44" s="26"/>
      <c r="J44" s="26"/>
      <c r="K44" s="26"/>
      <c r="N44" s="133"/>
    </row>
    <row r="45" spans="2:14" ht="16" customHeight="1">
      <c r="B45" s="142"/>
      <c r="C45" s="143"/>
      <c r="G45" s="137"/>
      <c r="H45" s="26"/>
      <c r="I45" s="26"/>
      <c r="J45" s="26"/>
      <c r="K45" s="26"/>
      <c r="N45" s="133"/>
    </row>
    <row r="46" spans="2:14" ht="16" customHeight="1">
      <c r="B46" s="142"/>
      <c r="C46" s="143"/>
      <c r="G46" s="137"/>
      <c r="H46" s="26"/>
      <c r="I46" s="26"/>
      <c r="J46" s="26"/>
      <c r="K46" s="26"/>
      <c r="N46" s="133"/>
    </row>
    <row r="47" spans="2:14" ht="16" customHeight="1">
      <c r="B47" s="142"/>
      <c r="C47" s="143"/>
      <c r="G47" s="137"/>
      <c r="H47" s="26"/>
      <c r="I47" s="26"/>
      <c r="J47" s="26"/>
      <c r="K47" s="26"/>
      <c r="N47" s="133"/>
    </row>
    <row r="48" spans="2:14" ht="16" customHeight="1">
      <c r="B48" s="142"/>
      <c r="C48" s="143"/>
      <c r="G48" s="137"/>
      <c r="H48" s="26"/>
      <c r="I48" s="26"/>
      <c r="J48" s="26"/>
      <c r="K48" s="26"/>
      <c r="N48" s="133"/>
    </row>
    <row r="49" spans="2:14" ht="16" customHeight="1">
      <c r="B49" s="142"/>
      <c r="C49" s="143"/>
      <c r="G49" s="137"/>
      <c r="H49" s="26"/>
      <c r="I49" s="26"/>
      <c r="J49" s="26"/>
      <c r="K49" s="26"/>
      <c r="N49" s="133"/>
    </row>
    <row r="50" spans="2:14" ht="16" customHeight="1">
      <c r="B50" s="142"/>
      <c r="C50" s="143"/>
      <c r="G50" s="137"/>
      <c r="H50" s="26"/>
      <c r="I50" s="26"/>
      <c r="J50" s="26"/>
      <c r="K50" s="26"/>
      <c r="N50" s="133"/>
    </row>
    <row r="51" spans="2:14" ht="16" customHeight="1">
      <c r="B51" s="142"/>
      <c r="C51" s="143"/>
      <c r="G51" s="137"/>
      <c r="H51" s="26"/>
      <c r="I51" s="26"/>
      <c r="J51" s="26"/>
      <c r="K51" s="26"/>
      <c r="N51" s="133"/>
    </row>
    <row r="52" spans="2:14" ht="16" customHeight="1">
      <c r="B52" s="142"/>
      <c r="C52" s="143"/>
      <c r="G52" s="137"/>
      <c r="H52" s="26"/>
      <c r="I52" s="26"/>
      <c r="J52" s="26"/>
      <c r="K52" s="26"/>
      <c r="N52" s="133"/>
    </row>
    <row r="53" spans="2:14" ht="16" customHeight="1">
      <c r="B53" s="142"/>
      <c r="C53" s="143"/>
      <c r="G53" s="137"/>
      <c r="H53" s="26"/>
      <c r="I53" s="26"/>
      <c r="J53" s="26"/>
      <c r="K53" s="26"/>
      <c r="N53" s="133"/>
    </row>
    <row r="54" spans="2:14" ht="16" customHeight="1">
      <c r="B54" s="142"/>
      <c r="C54" s="143"/>
      <c r="G54" s="137"/>
      <c r="H54" s="26"/>
      <c r="I54" s="26"/>
      <c r="J54" s="26"/>
      <c r="K54" s="26"/>
      <c r="N54" s="133"/>
    </row>
    <row r="55" spans="2:14" ht="16" customHeight="1">
      <c r="B55" s="142"/>
      <c r="C55" s="143"/>
      <c r="G55" s="137"/>
      <c r="H55" s="26"/>
      <c r="I55" s="26"/>
      <c r="J55" s="26"/>
      <c r="K55" s="26"/>
      <c r="N55" s="133"/>
    </row>
    <row r="56" spans="2:14" ht="16" customHeight="1">
      <c r="G56" s="137"/>
      <c r="H56" s="138" t="s">
        <v>375</v>
      </c>
      <c r="I56" s="139">
        <v>106745</v>
      </c>
    </row>
    <row r="57" spans="2:14" ht="16" customHeight="1">
      <c r="G57" s="137"/>
      <c r="H57" s="138" t="s">
        <v>374</v>
      </c>
      <c r="I57" s="139">
        <v>104632</v>
      </c>
    </row>
    <row r="58" spans="2:14" ht="16" customHeight="1">
      <c r="G58" s="137"/>
      <c r="H58" s="138" t="s">
        <v>19</v>
      </c>
      <c r="I58" s="139">
        <f>I56-I57</f>
        <v>2113</v>
      </c>
    </row>
    <row r="59" spans="2:14" ht="16" customHeight="1">
      <c r="G59" s="137"/>
      <c r="H59" s="140" t="s">
        <v>373</v>
      </c>
      <c r="I59" s="139">
        <v>1697</v>
      </c>
    </row>
    <row r="60" spans="2:14" ht="16" customHeight="1">
      <c r="G60" s="137"/>
      <c r="H60" s="140" t="s">
        <v>372</v>
      </c>
      <c r="I60" s="139">
        <v>547</v>
      </c>
    </row>
    <row r="61" spans="2:14" ht="16" customHeight="1">
      <c r="G61" s="137"/>
      <c r="H61" s="138" t="s">
        <v>376</v>
      </c>
      <c r="I61" s="141">
        <f>I58-I59-I60</f>
        <v>-131</v>
      </c>
    </row>
    <row r="62" spans="2:14" ht="16" customHeight="1">
      <c r="G62" s="137"/>
      <c r="H62" s="144"/>
      <c r="I62" s="144"/>
    </row>
    <row r="70" spans="2:2" ht="16" customHeight="1">
      <c r="B70" s="7" t="e">
        <f>SUM(#REF!)-274</f>
        <v>#REF!</v>
      </c>
    </row>
  </sheetData>
  <mergeCells count="1">
    <mergeCell ref="B2:N2"/>
  </mergeCells>
  <conditionalFormatting sqref="M4:M32">
    <cfRule type="cellIs" dxfId="123" priority="1" operator="lessThan">
      <formula>0</formula>
    </cfRule>
  </conditionalFormatting>
  <pageMargins left="0.7" right="0.7" top="0.75" bottom="0.75" header="0.3" footer="0.3"/>
  <pageSetup paperSize="9"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4433C-94EE-244D-A6BF-AB35BD5C1ABD}">
  <sheetPr codeName="Sheet5"/>
  <dimension ref="B2:N89"/>
  <sheetViews>
    <sheetView showGridLines="0" zoomScale="120" zoomScaleNormal="120" workbookViewId="0">
      <pane xSplit="3" ySplit="2" topLeftCell="D57" activePane="bottomRight" state="frozen"/>
      <selection activeCell="F23" sqref="F23"/>
      <selection pane="topRight" activeCell="F23" sqref="F23"/>
      <selection pane="bottomLeft" activeCell="F23" sqref="F23"/>
      <selection pane="bottomRight" activeCell="B2" sqref="B2"/>
    </sheetView>
  </sheetViews>
  <sheetFormatPr baseColWidth="10" defaultRowHeight="16"/>
  <cols>
    <col min="1" max="1" width="3.5" customWidth="1"/>
    <col min="7" max="7" width="10.5" bestFit="1" customWidth="1"/>
    <col min="8" max="9" width="11.33203125" customWidth="1"/>
    <col min="10" max="10" width="81.33203125" bestFit="1" customWidth="1"/>
  </cols>
  <sheetData>
    <row r="2" spans="2:14" ht="98">
      <c r="B2" s="125" t="s">
        <v>346</v>
      </c>
      <c r="C2" s="125" t="s">
        <v>210</v>
      </c>
      <c r="D2" s="125" t="s">
        <v>164</v>
      </c>
      <c r="E2" s="125" t="s">
        <v>347</v>
      </c>
      <c r="F2" s="125" t="s">
        <v>166</v>
      </c>
      <c r="G2" s="126" t="s">
        <v>625</v>
      </c>
      <c r="H2" s="126" t="s">
        <v>348</v>
      </c>
      <c r="I2" s="126" t="s">
        <v>589</v>
      </c>
      <c r="J2" s="125" t="s">
        <v>21</v>
      </c>
    </row>
    <row r="3" spans="2:14" s="155" customFormat="1" hidden="1">
      <c r="B3" s="154">
        <v>2025</v>
      </c>
      <c r="C3" s="154" t="s">
        <v>385</v>
      </c>
      <c r="D3" s="154">
        <v>50</v>
      </c>
      <c r="E3" s="154">
        <v>149.6</v>
      </c>
      <c r="F3" s="154">
        <v>117</v>
      </c>
      <c r="G3" s="154">
        <v>90</v>
      </c>
      <c r="H3" s="154">
        <f t="shared" ref="H3" si="0">SUM(D3:G3)</f>
        <v>406.6</v>
      </c>
      <c r="I3" s="154"/>
      <c r="J3" s="172"/>
      <c r="K3"/>
      <c r="L3"/>
      <c r="M3"/>
    </row>
    <row r="4" spans="2:14" s="155" customFormat="1" hidden="1">
      <c r="B4" s="124">
        <v>2025</v>
      </c>
      <c r="C4" s="124" t="s">
        <v>386</v>
      </c>
      <c r="D4" s="124">
        <v>50</v>
      </c>
      <c r="E4" s="124">
        <v>149.6</v>
      </c>
      <c r="F4" s="124">
        <v>117</v>
      </c>
      <c r="G4" s="124">
        <v>90</v>
      </c>
      <c r="H4" s="124">
        <f t="shared" ref="H4" si="1">SUM(D4:G4)</f>
        <v>406.6</v>
      </c>
      <c r="I4" s="124"/>
      <c r="J4" s="124" t="s">
        <v>384</v>
      </c>
      <c r="K4"/>
      <c r="L4"/>
      <c r="M4"/>
    </row>
    <row r="5" spans="2:14" s="155" customFormat="1" hidden="1">
      <c r="B5" s="124">
        <v>2025</v>
      </c>
      <c r="C5" s="124" t="s">
        <v>387</v>
      </c>
      <c r="D5" s="124">
        <v>50</v>
      </c>
      <c r="E5" s="124">
        <v>149.6</v>
      </c>
      <c r="F5" s="124">
        <v>117</v>
      </c>
      <c r="G5" s="124">
        <v>90</v>
      </c>
      <c r="H5" s="124">
        <f t="shared" ref="H5" si="2">SUM(D5:G5)</f>
        <v>406.6</v>
      </c>
      <c r="I5" s="124"/>
      <c r="J5" s="156" t="s">
        <v>7</v>
      </c>
      <c r="K5"/>
      <c r="L5"/>
      <c r="M5"/>
    </row>
    <row r="6" spans="2:14" s="155" customFormat="1" hidden="1">
      <c r="B6" s="124">
        <v>2025</v>
      </c>
      <c r="C6" s="124" t="s">
        <v>389</v>
      </c>
      <c r="D6" s="124">
        <v>50</v>
      </c>
      <c r="E6" s="124">
        <v>149.6</v>
      </c>
      <c r="F6" s="124">
        <v>114</v>
      </c>
      <c r="G6" s="124">
        <v>90</v>
      </c>
      <c r="H6" s="124">
        <f t="shared" ref="H6" si="3">SUM(D6:G6)</f>
        <v>403.6</v>
      </c>
      <c r="I6" s="124"/>
      <c r="J6" s="156" t="s">
        <v>7</v>
      </c>
      <c r="K6"/>
      <c r="L6"/>
      <c r="M6"/>
    </row>
    <row r="7" spans="2:14" s="155" customFormat="1" hidden="1">
      <c r="B7" s="124">
        <v>2025</v>
      </c>
      <c r="C7" s="124" t="s">
        <v>390</v>
      </c>
      <c r="D7" s="124">
        <v>50</v>
      </c>
      <c r="E7" s="124">
        <v>149.6</v>
      </c>
      <c r="F7" s="124">
        <v>114</v>
      </c>
      <c r="G7" s="124">
        <v>90</v>
      </c>
      <c r="H7" s="124">
        <f t="shared" ref="H7:H8" si="4">SUM(D7:G7)</f>
        <v>403.6</v>
      </c>
      <c r="I7" s="124"/>
      <c r="J7" s="156" t="s">
        <v>7</v>
      </c>
      <c r="K7"/>
      <c r="L7"/>
      <c r="M7"/>
    </row>
    <row r="8" spans="2:14" hidden="1">
      <c r="B8" s="124">
        <v>2025</v>
      </c>
      <c r="C8" s="124" t="s">
        <v>391</v>
      </c>
      <c r="D8" s="124">
        <v>50</v>
      </c>
      <c r="E8" s="124">
        <v>150</v>
      </c>
      <c r="F8" s="124">
        <v>110</v>
      </c>
      <c r="G8" s="124">
        <v>90</v>
      </c>
      <c r="H8" s="124">
        <f t="shared" si="4"/>
        <v>400</v>
      </c>
      <c r="I8" s="124"/>
      <c r="J8" s="156" t="s">
        <v>7</v>
      </c>
      <c r="N8" s="155"/>
    </row>
    <row r="9" spans="2:14" hidden="1">
      <c r="B9" s="124">
        <v>2025</v>
      </c>
      <c r="C9" s="124" t="s">
        <v>392</v>
      </c>
      <c r="D9" s="124">
        <v>50</v>
      </c>
      <c r="E9" s="124">
        <v>150</v>
      </c>
      <c r="F9" s="124">
        <v>110</v>
      </c>
      <c r="G9" s="124">
        <v>90</v>
      </c>
      <c r="H9" s="124">
        <f t="shared" ref="H9" si="5">SUM(D9:G9)</f>
        <v>400</v>
      </c>
      <c r="I9" s="124"/>
      <c r="J9" s="156" t="s">
        <v>7</v>
      </c>
      <c r="N9" s="155"/>
    </row>
    <row r="10" spans="2:14" hidden="1">
      <c r="B10" s="124">
        <v>2025</v>
      </c>
      <c r="C10" s="124" t="s">
        <v>393</v>
      </c>
      <c r="D10" s="124">
        <v>50</v>
      </c>
      <c r="E10" s="124">
        <v>150</v>
      </c>
      <c r="F10" s="124">
        <v>110</v>
      </c>
      <c r="G10" s="124">
        <v>90</v>
      </c>
      <c r="H10" s="124">
        <f t="shared" ref="H10:H11" si="6">SUM(D10:G10)</f>
        <v>400</v>
      </c>
      <c r="I10" s="124"/>
      <c r="J10" s="156" t="s">
        <v>7</v>
      </c>
      <c r="N10" s="155"/>
    </row>
    <row r="11" spans="2:14" hidden="1">
      <c r="B11" s="124">
        <v>2025</v>
      </c>
      <c r="C11" s="124" t="s">
        <v>394</v>
      </c>
      <c r="D11" s="124">
        <v>50</v>
      </c>
      <c r="E11" s="124">
        <v>150</v>
      </c>
      <c r="F11" s="124">
        <v>110</v>
      </c>
      <c r="G11" s="124">
        <v>90</v>
      </c>
      <c r="H11" s="124">
        <f t="shared" si="6"/>
        <v>400</v>
      </c>
      <c r="I11" s="124"/>
      <c r="J11" s="156" t="s">
        <v>7</v>
      </c>
      <c r="N11" s="155"/>
    </row>
    <row r="12" spans="2:14" hidden="1">
      <c r="B12" s="124">
        <v>2025</v>
      </c>
      <c r="C12" s="124" t="s">
        <v>395</v>
      </c>
      <c r="D12" s="124">
        <v>60</v>
      </c>
      <c r="E12" s="124">
        <v>150</v>
      </c>
      <c r="F12" s="124">
        <v>90</v>
      </c>
      <c r="G12" s="124">
        <v>90</v>
      </c>
      <c r="H12" s="124">
        <v>390</v>
      </c>
      <c r="I12" s="124"/>
      <c r="J12" s="156" t="s">
        <v>7</v>
      </c>
      <c r="N12" s="155"/>
    </row>
    <row r="13" spans="2:14" hidden="1">
      <c r="B13" s="124">
        <v>2025</v>
      </c>
      <c r="C13" s="124" t="s">
        <v>396</v>
      </c>
      <c r="D13" s="124">
        <v>60</v>
      </c>
      <c r="E13" s="124">
        <v>150</v>
      </c>
      <c r="F13" s="124">
        <v>90</v>
      </c>
      <c r="G13" s="124">
        <v>90</v>
      </c>
      <c r="H13" s="124">
        <v>390</v>
      </c>
      <c r="I13" s="124"/>
      <c r="J13" s="156" t="s">
        <v>7</v>
      </c>
      <c r="N13" s="155"/>
    </row>
    <row r="14" spans="2:14" hidden="1">
      <c r="B14" s="124">
        <v>2025</v>
      </c>
      <c r="C14" s="124" t="s">
        <v>397</v>
      </c>
      <c r="D14" s="124">
        <v>60</v>
      </c>
      <c r="E14" s="124">
        <v>150</v>
      </c>
      <c r="F14" s="124">
        <v>132</v>
      </c>
      <c r="G14" s="124">
        <v>48</v>
      </c>
      <c r="H14" s="124">
        <v>390</v>
      </c>
      <c r="I14" s="124"/>
      <c r="J14" s="156" t="s">
        <v>7</v>
      </c>
      <c r="N14" s="155"/>
    </row>
    <row r="15" spans="2:14" s="187" customFormat="1" hidden="1">
      <c r="B15" s="154">
        <v>2025</v>
      </c>
      <c r="C15" s="154" t="s">
        <v>398</v>
      </c>
      <c r="D15" s="154">
        <v>60</v>
      </c>
      <c r="E15" s="154">
        <v>150</v>
      </c>
      <c r="F15" s="154">
        <v>132</v>
      </c>
      <c r="G15" s="154">
        <v>48</v>
      </c>
      <c r="H15" s="154">
        <v>390</v>
      </c>
      <c r="I15" s="154"/>
      <c r="J15" s="172" t="s">
        <v>383</v>
      </c>
      <c r="K15"/>
      <c r="L15"/>
      <c r="M15"/>
      <c r="N15" s="188"/>
    </row>
    <row r="16" spans="2:14" hidden="1">
      <c r="B16" s="154">
        <v>2025</v>
      </c>
      <c r="C16" s="154" t="s">
        <v>399</v>
      </c>
      <c r="D16" s="154">
        <v>50</v>
      </c>
      <c r="E16" s="154">
        <v>150</v>
      </c>
      <c r="F16" s="154">
        <v>152</v>
      </c>
      <c r="G16" s="154">
        <v>33</v>
      </c>
      <c r="H16" s="154">
        <v>385</v>
      </c>
      <c r="I16" s="154"/>
      <c r="J16" s="154" t="s">
        <v>401</v>
      </c>
      <c r="N16" s="155"/>
    </row>
    <row r="17" spans="2:14" hidden="1">
      <c r="B17" s="124">
        <v>2025</v>
      </c>
      <c r="C17" s="124" t="s">
        <v>400</v>
      </c>
      <c r="D17" s="124">
        <v>50</v>
      </c>
      <c r="E17" s="124">
        <v>150</v>
      </c>
      <c r="F17" s="124">
        <v>152</v>
      </c>
      <c r="G17" s="124">
        <v>33</v>
      </c>
      <c r="H17" s="124">
        <v>385</v>
      </c>
      <c r="I17" s="124"/>
      <c r="J17" s="124" t="s">
        <v>401</v>
      </c>
      <c r="N17" s="155"/>
    </row>
    <row r="18" spans="2:14" hidden="1">
      <c r="B18" s="124">
        <v>2025</v>
      </c>
      <c r="C18" s="124" t="s">
        <v>404</v>
      </c>
      <c r="D18" s="124">
        <v>50</v>
      </c>
      <c r="E18" s="124">
        <v>150</v>
      </c>
      <c r="F18" s="124">
        <v>152</v>
      </c>
      <c r="G18" s="124">
        <v>33</v>
      </c>
      <c r="H18" s="124">
        <v>385</v>
      </c>
      <c r="I18" s="124"/>
      <c r="J18" s="124" t="s">
        <v>7</v>
      </c>
      <c r="N18" s="155"/>
    </row>
    <row r="19" spans="2:14" hidden="1">
      <c r="B19" s="124">
        <v>2025</v>
      </c>
      <c r="C19" s="124" t="s">
        <v>402</v>
      </c>
      <c r="D19" s="124">
        <v>50</v>
      </c>
      <c r="E19" s="124">
        <v>150</v>
      </c>
      <c r="F19" s="124">
        <v>152</v>
      </c>
      <c r="G19" s="124">
        <v>33</v>
      </c>
      <c r="H19" s="124">
        <v>385</v>
      </c>
      <c r="I19" s="124"/>
      <c r="J19" s="124" t="s">
        <v>7</v>
      </c>
      <c r="N19" s="155"/>
    </row>
    <row r="20" spans="2:14" hidden="1">
      <c r="B20" s="124">
        <v>2025</v>
      </c>
      <c r="C20" s="124" t="s">
        <v>403</v>
      </c>
      <c r="D20" s="124">
        <v>50</v>
      </c>
      <c r="E20" s="124">
        <v>150</v>
      </c>
      <c r="F20" s="124">
        <v>152</v>
      </c>
      <c r="G20" s="124">
        <v>33</v>
      </c>
      <c r="H20" s="124">
        <v>385</v>
      </c>
      <c r="I20" s="124"/>
      <c r="J20" s="124" t="s">
        <v>406</v>
      </c>
      <c r="N20" s="155"/>
    </row>
    <row r="21" spans="2:14" hidden="1">
      <c r="B21" s="124">
        <v>2025</v>
      </c>
      <c r="C21" s="124" t="s">
        <v>405</v>
      </c>
      <c r="D21" s="124">
        <v>40</v>
      </c>
      <c r="E21" s="124">
        <v>150</v>
      </c>
      <c r="F21" s="124">
        <v>157</v>
      </c>
      <c r="G21" s="124">
        <f>33</f>
        <v>33</v>
      </c>
      <c r="H21" s="124">
        <f t="shared" ref="H21:H24" si="7">SUM(D21:G21)</f>
        <v>380</v>
      </c>
      <c r="I21" s="124"/>
      <c r="J21" s="124" t="s">
        <v>7</v>
      </c>
      <c r="N21" s="155"/>
    </row>
    <row r="22" spans="2:14" hidden="1">
      <c r="B22" s="124">
        <v>2025</v>
      </c>
      <c r="C22" s="124" t="s">
        <v>407</v>
      </c>
      <c r="D22" s="124">
        <v>50</v>
      </c>
      <c r="E22" s="124">
        <v>180</v>
      </c>
      <c r="F22" s="124">
        <v>117</v>
      </c>
      <c r="G22" s="124">
        <f>33</f>
        <v>33</v>
      </c>
      <c r="H22" s="124">
        <f t="shared" ref="H22" si="8">SUM(D22:G22)</f>
        <v>380</v>
      </c>
      <c r="I22" s="124"/>
      <c r="J22" s="124" t="s">
        <v>7</v>
      </c>
      <c r="N22" s="155"/>
    </row>
    <row r="23" spans="2:14" hidden="1">
      <c r="B23" s="124">
        <v>2025</v>
      </c>
      <c r="C23" s="124" t="s">
        <v>410</v>
      </c>
      <c r="D23" s="124">
        <v>50</v>
      </c>
      <c r="E23" s="124">
        <v>180</v>
      </c>
      <c r="F23" s="124">
        <v>117</v>
      </c>
      <c r="G23" s="124">
        <f>33</f>
        <v>33</v>
      </c>
      <c r="H23" s="124">
        <f t="shared" ref="H23" si="9">SUM(D23:G23)</f>
        <v>380</v>
      </c>
      <c r="I23" s="124"/>
      <c r="J23" s="124" t="s">
        <v>7</v>
      </c>
      <c r="N23" s="155"/>
    </row>
    <row r="24" spans="2:14" hidden="1">
      <c r="B24" s="124">
        <v>2026</v>
      </c>
      <c r="C24" s="124" t="s">
        <v>415</v>
      </c>
      <c r="D24" s="124">
        <v>50</v>
      </c>
      <c r="E24" s="124">
        <v>180</v>
      </c>
      <c r="F24" s="124">
        <v>117</v>
      </c>
      <c r="G24" s="124">
        <v>33</v>
      </c>
      <c r="H24" s="124">
        <f t="shared" si="7"/>
        <v>380</v>
      </c>
      <c r="I24" s="124"/>
      <c r="J24" s="136" t="s">
        <v>7</v>
      </c>
      <c r="K24" s="189"/>
      <c r="N24" s="155"/>
    </row>
    <row r="25" spans="2:14" hidden="1">
      <c r="B25" s="124">
        <v>2025</v>
      </c>
      <c r="C25" s="124" t="s">
        <v>412</v>
      </c>
      <c r="D25" s="124">
        <v>80</v>
      </c>
      <c r="E25" s="124">
        <v>180</v>
      </c>
      <c r="F25" s="124">
        <v>82</v>
      </c>
      <c r="G25" s="124">
        <v>33</v>
      </c>
      <c r="H25" s="124">
        <f t="shared" ref="H25" si="10">SUM(D25:G25)</f>
        <v>375</v>
      </c>
      <c r="I25" s="124"/>
      <c r="J25" s="136" t="s">
        <v>7</v>
      </c>
      <c r="K25" s="189"/>
      <c r="N25" s="155"/>
    </row>
    <row r="26" spans="2:14" hidden="1">
      <c r="B26" s="124">
        <v>2025</v>
      </c>
      <c r="C26" s="124" t="s">
        <v>413</v>
      </c>
      <c r="D26" s="124">
        <v>80</v>
      </c>
      <c r="E26" s="124">
        <v>180</v>
      </c>
      <c r="F26" s="124">
        <v>82</v>
      </c>
      <c r="G26" s="124">
        <v>33</v>
      </c>
      <c r="H26" s="124">
        <v>375</v>
      </c>
      <c r="I26" s="124"/>
      <c r="J26" s="124" t="s">
        <v>7</v>
      </c>
      <c r="N26" s="155"/>
    </row>
    <row r="27" spans="2:14" hidden="1">
      <c r="B27" s="154">
        <v>2025</v>
      </c>
      <c r="C27" s="154" t="s">
        <v>414</v>
      </c>
      <c r="D27" s="154">
        <v>50</v>
      </c>
      <c r="E27" s="154">
        <v>120</v>
      </c>
      <c r="F27" s="154">
        <v>176</v>
      </c>
      <c r="G27" s="154">
        <v>33</v>
      </c>
      <c r="H27" s="154">
        <f>SUM(D27:G27)</f>
        <v>379</v>
      </c>
      <c r="I27" s="154"/>
      <c r="J27" s="124" t="s">
        <v>7</v>
      </c>
      <c r="K27" s="189"/>
      <c r="N27" s="155"/>
    </row>
    <row r="28" spans="2:14" hidden="1">
      <c r="B28" s="154">
        <v>2025</v>
      </c>
      <c r="C28" s="154" t="s">
        <v>416</v>
      </c>
      <c r="D28" s="154">
        <v>50</v>
      </c>
      <c r="E28" s="154">
        <v>120</v>
      </c>
      <c r="F28" s="154">
        <v>176</v>
      </c>
      <c r="G28" s="154">
        <v>33</v>
      </c>
      <c r="H28" s="154">
        <f>SUM(D28:G28)</f>
        <v>379</v>
      </c>
      <c r="I28" s="154"/>
      <c r="J28" s="124"/>
      <c r="K28" s="189"/>
      <c r="N28" s="155"/>
    </row>
    <row r="29" spans="2:14" hidden="1">
      <c r="B29" s="124">
        <v>2026</v>
      </c>
      <c r="C29" s="124" t="s">
        <v>417</v>
      </c>
      <c r="D29" s="124">
        <v>40</v>
      </c>
      <c r="E29" s="124">
        <v>120</v>
      </c>
      <c r="F29" s="124">
        <v>180</v>
      </c>
      <c r="G29" s="124">
        <v>33</v>
      </c>
      <c r="H29" s="124">
        <f t="shared" ref="H29:H63" si="11">SUM(D29:G29)</f>
        <v>373</v>
      </c>
      <c r="I29" s="124"/>
      <c r="J29" s="124" t="s">
        <v>7</v>
      </c>
      <c r="K29" s="189"/>
      <c r="N29" s="155"/>
    </row>
    <row r="30" spans="2:14" hidden="1">
      <c r="B30" s="124">
        <v>2026</v>
      </c>
      <c r="C30" s="124" t="s">
        <v>418</v>
      </c>
      <c r="D30" s="124">
        <v>40</v>
      </c>
      <c r="E30" s="124">
        <v>120</v>
      </c>
      <c r="F30" s="124">
        <v>180</v>
      </c>
      <c r="G30" s="124">
        <v>33</v>
      </c>
      <c r="H30" s="124">
        <f t="shared" ref="H30" si="12">SUM(D30:G30)</f>
        <v>373</v>
      </c>
      <c r="I30" s="124"/>
      <c r="J30" s="124" t="s">
        <v>7</v>
      </c>
      <c r="K30" s="189"/>
      <c r="N30" s="155"/>
    </row>
    <row r="31" spans="2:14" hidden="1">
      <c r="B31" s="124">
        <v>2026</v>
      </c>
      <c r="C31" s="124" t="s">
        <v>419</v>
      </c>
      <c r="D31" s="124">
        <v>40</v>
      </c>
      <c r="E31" s="124">
        <v>120</v>
      </c>
      <c r="F31" s="124">
        <v>180</v>
      </c>
      <c r="G31" s="124">
        <v>33</v>
      </c>
      <c r="H31" s="124">
        <f t="shared" ref="H31" si="13">SUM(D31:G31)</f>
        <v>373</v>
      </c>
      <c r="I31" s="124"/>
      <c r="J31" s="124" t="s">
        <v>7</v>
      </c>
      <c r="K31" s="189"/>
      <c r="N31" s="155"/>
    </row>
    <row r="32" spans="2:14" hidden="1">
      <c r="B32" s="124">
        <v>2026</v>
      </c>
      <c r="C32" s="124" t="s">
        <v>420</v>
      </c>
      <c r="D32" s="124">
        <v>40</v>
      </c>
      <c r="E32" s="124">
        <v>120</v>
      </c>
      <c r="F32" s="124">
        <v>180</v>
      </c>
      <c r="G32" s="124">
        <v>33</v>
      </c>
      <c r="H32" s="124">
        <f t="shared" ref="H32" si="14">SUM(D32:G32)</f>
        <v>373</v>
      </c>
      <c r="I32" s="124"/>
      <c r="J32" s="124" t="s">
        <v>7</v>
      </c>
      <c r="K32" s="189"/>
      <c r="N32" s="155"/>
    </row>
    <row r="33" spans="2:14" hidden="1">
      <c r="B33" s="124">
        <v>2026</v>
      </c>
      <c r="C33" s="124" t="s">
        <v>421</v>
      </c>
      <c r="D33" s="124">
        <v>40</v>
      </c>
      <c r="E33" s="124">
        <v>120</v>
      </c>
      <c r="F33" s="124">
        <v>180</v>
      </c>
      <c r="G33" s="124">
        <v>33</v>
      </c>
      <c r="H33" s="124">
        <f t="shared" ref="H33:H35" si="15">SUM(D33:G33)</f>
        <v>373</v>
      </c>
      <c r="I33" s="124"/>
      <c r="J33" s="124" t="s">
        <v>7</v>
      </c>
      <c r="K33" s="189"/>
      <c r="N33" s="155"/>
    </row>
    <row r="34" spans="2:14" hidden="1">
      <c r="B34" s="124">
        <v>2026</v>
      </c>
      <c r="C34" s="124" t="s">
        <v>422</v>
      </c>
      <c r="D34" s="124">
        <v>40</v>
      </c>
      <c r="E34" s="124">
        <v>80</v>
      </c>
      <c r="F34" s="124">
        <v>215</v>
      </c>
      <c r="G34" s="124">
        <v>33</v>
      </c>
      <c r="H34" s="124">
        <f t="shared" si="15"/>
        <v>368</v>
      </c>
      <c r="I34" s="124"/>
      <c r="J34" s="124" t="s">
        <v>7</v>
      </c>
      <c r="K34" s="189"/>
      <c r="N34" s="155"/>
    </row>
    <row r="35" spans="2:14" hidden="1">
      <c r="B35" s="124">
        <v>2026</v>
      </c>
      <c r="C35" s="124" t="s">
        <v>423</v>
      </c>
      <c r="D35" s="124">
        <v>40</v>
      </c>
      <c r="E35" s="124">
        <v>80</v>
      </c>
      <c r="F35" s="124">
        <v>215</v>
      </c>
      <c r="G35" s="124">
        <v>33</v>
      </c>
      <c r="H35" s="124">
        <f t="shared" si="15"/>
        <v>368</v>
      </c>
      <c r="I35" s="124"/>
      <c r="J35" s="124" t="s">
        <v>7</v>
      </c>
      <c r="K35" s="189"/>
      <c r="N35" s="155"/>
    </row>
    <row r="36" spans="2:14" hidden="1">
      <c r="B36" s="124">
        <v>2026</v>
      </c>
      <c r="C36" s="124" t="s">
        <v>545</v>
      </c>
      <c r="D36" s="124">
        <v>40</v>
      </c>
      <c r="E36" s="124">
        <v>80</v>
      </c>
      <c r="F36" s="124">
        <v>215</v>
      </c>
      <c r="G36" s="124">
        <v>33</v>
      </c>
      <c r="H36" s="124">
        <f t="shared" ref="H36:H39" si="16">SUM(D36:G36)</f>
        <v>368</v>
      </c>
      <c r="I36" s="124"/>
      <c r="J36" s="124" t="s">
        <v>7</v>
      </c>
      <c r="K36" s="189"/>
      <c r="N36" s="155"/>
    </row>
    <row r="37" spans="2:14" hidden="1">
      <c r="B37" s="124">
        <v>2026</v>
      </c>
      <c r="C37" s="124" t="s">
        <v>546</v>
      </c>
      <c r="D37" s="124">
        <v>40</v>
      </c>
      <c r="E37" s="124">
        <v>80</v>
      </c>
      <c r="F37" s="124">
        <v>215</v>
      </c>
      <c r="G37" s="124">
        <v>33</v>
      </c>
      <c r="H37" s="124">
        <f t="shared" si="16"/>
        <v>368</v>
      </c>
      <c r="I37" s="124"/>
      <c r="J37" s="124" t="s">
        <v>7</v>
      </c>
      <c r="K37" s="189"/>
      <c r="N37" s="155"/>
    </row>
    <row r="38" spans="2:14" hidden="1">
      <c r="B38" s="124">
        <v>2026</v>
      </c>
      <c r="C38" s="124" t="s">
        <v>548</v>
      </c>
      <c r="D38" s="124">
        <v>50</v>
      </c>
      <c r="E38" s="124">
        <v>225</v>
      </c>
      <c r="F38" s="124">
        <v>0</v>
      </c>
      <c r="G38" s="124">
        <v>33</v>
      </c>
      <c r="H38" s="124">
        <f t="shared" si="16"/>
        <v>308</v>
      </c>
      <c r="I38" s="124"/>
      <c r="J38" s="124" t="s">
        <v>7</v>
      </c>
      <c r="K38" s="189"/>
      <c r="N38" s="155"/>
    </row>
    <row r="39" spans="2:14" hidden="1">
      <c r="B39" s="124">
        <v>2026</v>
      </c>
      <c r="C39" s="124" t="s">
        <v>550</v>
      </c>
      <c r="D39" s="124">
        <v>50</v>
      </c>
      <c r="E39" s="124">
        <v>50</v>
      </c>
      <c r="F39" s="124">
        <v>172</v>
      </c>
      <c r="G39" s="124">
        <v>33</v>
      </c>
      <c r="H39" s="124">
        <f t="shared" si="16"/>
        <v>305</v>
      </c>
      <c r="I39" s="124"/>
      <c r="J39" s="124" t="s">
        <v>7</v>
      </c>
      <c r="K39" s="189"/>
      <c r="N39" s="155"/>
    </row>
    <row r="40" spans="2:14" hidden="1">
      <c r="B40" s="124">
        <v>2026</v>
      </c>
      <c r="C40" s="124" t="s">
        <v>557</v>
      </c>
      <c r="D40" s="124">
        <v>50</v>
      </c>
      <c r="E40" s="124">
        <v>50</v>
      </c>
      <c r="F40" s="124">
        <v>172</v>
      </c>
      <c r="G40" s="124">
        <v>33</v>
      </c>
      <c r="H40" s="124">
        <f t="shared" ref="H40" si="17">SUM(D40:G40)</f>
        <v>305</v>
      </c>
      <c r="I40" s="124"/>
      <c r="J40" s="124" t="s">
        <v>551</v>
      </c>
      <c r="K40" s="189"/>
      <c r="N40" s="155"/>
    </row>
    <row r="41" spans="2:14" hidden="1">
      <c r="B41" s="124">
        <v>2026</v>
      </c>
      <c r="C41" s="124" t="s">
        <v>569</v>
      </c>
      <c r="D41" s="124">
        <v>50</v>
      </c>
      <c r="E41" s="124">
        <v>50</v>
      </c>
      <c r="F41" s="124">
        <v>150</v>
      </c>
      <c r="G41" s="124">
        <v>33</v>
      </c>
      <c r="H41" s="124">
        <f t="shared" ref="H41" si="18">SUM(D41:G41)</f>
        <v>283</v>
      </c>
      <c r="I41" s="124"/>
      <c r="J41" s="241" t="s">
        <v>552</v>
      </c>
      <c r="K41" s="189"/>
      <c r="N41" s="155"/>
    </row>
    <row r="42" spans="2:14" hidden="1">
      <c r="B42" s="124">
        <v>2026</v>
      </c>
      <c r="C42" s="124" t="s">
        <v>570</v>
      </c>
      <c r="D42" s="124">
        <v>25</v>
      </c>
      <c r="E42" s="124">
        <v>50</v>
      </c>
      <c r="F42" s="124">
        <v>171</v>
      </c>
      <c r="G42" s="124">
        <v>33</v>
      </c>
      <c r="H42" s="124">
        <f t="shared" ref="H42" si="19">SUM(D42:G42)</f>
        <v>279</v>
      </c>
      <c r="I42" s="124"/>
      <c r="J42" s="124" t="s">
        <v>7</v>
      </c>
      <c r="K42" s="189"/>
      <c r="N42" s="155"/>
    </row>
    <row r="43" spans="2:14" hidden="1">
      <c r="B43" s="124">
        <v>2026</v>
      </c>
      <c r="C43" s="124" t="s">
        <v>571</v>
      </c>
      <c r="D43" s="124">
        <v>25</v>
      </c>
      <c r="E43" s="124">
        <v>50</v>
      </c>
      <c r="F43" s="124">
        <v>176</v>
      </c>
      <c r="G43" s="124">
        <v>33</v>
      </c>
      <c r="H43" s="124">
        <f t="shared" ref="H43" si="20">SUM(D43:G43)</f>
        <v>284</v>
      </c>
      <c r="I43" s="124"/>
      <c r="J43" s="124" t="s">
        <v>572</v>
      </c>
      <c r="K43" s="189"/>
      <c r="N43" s="155"/>
    </row>
    <row r="44" spans="2:14" hidden="1">
      <c r="B44" s="124">
        <v>2026</v>
      </c>
      <c r="C44" s="124" t="s">
        <v>573</v>
      </c>
      <c r="D44" s="124">
        <v>25</v>
      </c>
      <c r="E44" s="124">
        <v>50</v>
      </c>
      <c r="F44" s="124">
        <v>156</v>
      </c>
      <c r="G44" s="124">
        <v>33</v>
      </c>
      <c r="H44" s="124">
        <f t="shared" ref="H44" si="21">SUM(D44:G44)</f>
        <v>264</v>
      </c>
      <c r="I44" s="124"/>
      <c r="J44" s="124" t="s">
        <v>574</v>
      </c>
      <c r="K44" s="189"/>
      <c r="N44" s="155"/>
    </row>
    <row r="45" spans="2:14" hidden="1">
      <c r="B45" s="124">
        <v>2026</v>
      </c>
      <c r="C45" s="124" t="s">
        <v>576</v>
      </c>
      <c r="D45" s="124">
        <v>25</v>
      </c>
      <c r="E45" s="124">
        <v>50</v>
      </c>
      <c r="F45" s="124">
        <v>156</v>
      </c>
      <c r="G45" s="124">
        <v>33</v>
      </c>
      <c r="H45" s="124">
        <f t="shared" ref="H45" si="22">SUM(D45:G45)</f>
        <v>264</v>
      </c>
      <c r="I45" s="124"/>
      <c r="J45" s="124" t="s">
        <v>7</v>
      </c>
      <c r="K45" s="189"/>
      <c r="N45" s="155"/>
    </row>
    <row r="46" spans="2:14" hidden="1">
      <c r="B46" s="124">
        <v>2026</v>
      </c>
      <c r="C46" s="124" t="s">
        <v>577</v>
      </c>
      <c r="D46" s="124">
        <v>25</v>
      </c>
      <c r="E46" s="124">
        <v>50</v>
      </c>
      <c r="F46" s="124">
        <v>173</v>
      </c>
      <c r="G46" s="124">
        <v>33</v>
      </c>
      <c r="H46" s="124">
        <f t="shared" si="11"/>
        <v>281</v>
      </c>
      <c r="I46" s="124"/>
      <c r="J46" s="124" t="s">
        <v>7</v>
      </c>
      <c r="K46" s="189"/>
      <c r="N46" s="195"/>
    </row>
    <row r="47" spans="2:14" ht="28" hidden="1">
      <c r="B47" s="124">
        <v>2026</v>
      </c>
      <c r="C47" s="124" t="s">
        <v>578</v>
      </c>
      <c r="D47" s="124">
        <v>25</v>
      </c>
      <c r="E47" s="124">
        <v>50</v>
      </c>
      <c r="F47" s="124">
        <v>120</v>
      </c>
      <c r="G47" s="124">
        <v>33</v>
      </c>
      <c r="H47" s="124">
        <f t="shared" si="11"/>
        <v>228</v>
      </c>
      <c r="I47" s="124"/>
      <c r="J47" s="261" t="s">
        <v>580</v>
      </c>
      <c r="K47" s="189"/>
      <c r="N47" s="195"/>
    </row>
    <row r="48" spans="2:14" ht="28" hidden="1">
      <c r="B48" s="124">
        <v>2026</v>
      </c>
      <c r="C48" s="124" t="s">
        <v>581</v>
      </c>
      <c r="D48" s="124">
        <v>25</v>
      </c>
      <c r="E48" s="124">
        <v>50</v>
      </c>
      <c r="F48" s="124">
        <v>120</v>
      </c>
      <c r="G48" s="124">
        <v>33</v>
      </c>
      <c r="H48" s="124">
        <f>SUM(D48:G48)</f>
        <v>228</v>
      </c>
      <c r="I48" s="124"/>
      <c r="J48" s="261" t="s">
        <v>580</v>
      </c>
      <c r="K48" s="189"/>
      <c r="N48" s="195"/>
    </row>
    <row r="49" spans="2:14" ht="28" hidden="1">
      <c r="B49" s="124">
        <v>2026</v>
      </c>
      <c r="C49" s="124" t="s">
        <v>587</v>
      </c>
      <c r="D49" s="124">
        <v>25</v>
      </c>
      <c r="E49" s="124">
        <v>50</v>
      </c>
      <c r="F49" s="124">
        <v>120</v>
      </c>
      <c r="G49" s="124">
        <v>33</v>
      </c>
      <c r="H49" s="124">
        <f>SUM(D49:G49)</f>
        <v>228</v>
      </c>
      <c r="I49" s="124">
        <v>25</v>
      </c>
      <c r="J49" s="261" t="s">
        <v>580</v>
      </c>
      <c r="K49" s="189"/>
      <c r="N49" s="195"/>
    </row>
    <row r="50" spans="2:14" hidden="1">
      <c r="B50" s="124">
        <v>2026</v>
      </c>
      <c r="C50" s="124" t="s">
        <v>590</v>
      </c>
      <c r="D50" s="124">
        <v>25</v>
      </c>
      <c r="E50" s="124">
        <v>50</v>
      </c>
      <c r="F50" s="124">
        <v>120</v>
      </c>
      <c r="G50" s="124">
        <v>33</v>
      </c>
      <c r="H50" s="124">
        <f t="shared" si="11"/>
        <v>228</v>
      </c>
      <c r="I50" s="124">
        <v>25</v>
      </c>
      <c r="J50" s="261" t="s">
        <v>7</v>
      </c>
      <c r="K50" s="189"/>
      <c r="N50" s="195"/>
    </row>
    <row r="51" spans="2:14" hidden="1">
      <c r="B51" s="124">
        <v>2026</v>
      </c>
      <c r="C51" s="124" t="s">
        <v>593</v>
      </c>
      <c r="D51" s="124">
        <v>25</v>
      </c>
      <c r="E51" s="124">
        <v>50</v>
      </c>
      <c r="F51" s="124">
        <v>107</v>
      </c>
      <c r="G51" s="124">
        <v>53</v>
      </c>
      <c r="H51" s="124">
        <f t="shared" ref="H51" si="23">SUM(D51:G51)</f>
        <v>235</v>
      </c>
      <c r="I51" s="124">
        <v>25</v>
      </c>
      <c r="J51" s="261" t="s">
        <v>7</v>
      </c>
      <c r="K51" s="189"/>
      <c r="N51" s="195"/>
    </row>
    <row r="52" spans="2:14" hidden="1">
      <c r="B52" s="124">
        <v>2026</v>
      </c>
      <c r="C52" s="124" t="s">
        <v>599</v>
      </c>
      <c r="D52" s="124">
        <v>25</v>
      </c>
      <c r="E52" s="124">
        <v>50</v>
      </c>
      <c r="F52" s="124">
        <v>107</v>
      </c>
      <c r="G52" s="124">
        <v>53</v>
      </c>
      <c r="H52" s="124">
        <f t="shared" ref="H52" si="24">SUM(D52:G52)</f>
        <v>235</v>
      </c>
      <c r="I52" s="124">
        <v>25</v>
      </c>
      <c r="J52" s="261" t="s">
        <v>7</v>
      </c>
      <c r="K52" s="189"/>
      <c r="N52" s="195"/>
    </row>
    <row r="53" spans="2:14" ht="28" hidden="1">
      <c r="B53" s="124">
        <v>2026</v>
      </c>
      <c r="C53" s="124" t="s">
        <v>600</v>
      </c>
      <c r="D53" s="124">
        <v>25</v>
      </c>
      <c r="E53" s="124">
        <v>50</v>
      </c>
      <c r="F53" s="124">
        <v>107</v>
      </c>
      <c r="G53" s="124">
        <v>53</v>
      </c>
      <c r="H53" s="124">
        <f t="shared" ref="H53" si="25">SUM(D53:G53)</f>
        <v>235</v>
      </c>
      <c r="I53" s="124">
        <v>25</v>
      </c>
      <c r="J53" s="261" t="s">
        <v>591</v>
      </c>
      <c r="K53" s="189"/>
      <c r="N53" s="195"/>
    </row>
    <row r="54" spans="2:14" ht="28" hidden="1">
      <c r="B54" s="124">
        <v>2026</v>
      </c>
      <c r="C54" s="124" t="s">
        <v>602</v>
      </c>
      <c r="D54" s="124">
        <v>25</v>
      </c>
      <c r="E54" s="124">
        <v>50</v>
      </c>
      <c r="F54" s="124">
        <v>107</v>
      </c>
      <c r="G54" s="124">
        <v>53</v>
      </c>
      <c r="H54" s="124">
        <f t="shared" ref="H54" si="26">SUM(D54:G54)</f>
        <v>235</v>
      </c>
      <c r="I54" s="124">
        <v>25</v>
      </c>
      <c r="J54" s="261" t="s">
        <v>591</v>
      </c>
      <c r="K54" s="189"/>
      <c r="N54" s="195"/>
    </row>
    <row r="55" spans="2:14" ht="28" hidden="1">
      <c r="B55" s="124">
        <v>2026</v>
      </c>
      <c r="C55" s="124" t="s">
        <v>610</v>
      </c>
      <c r="D55" s="124">
        <v>25</v>
      </c>
      <c r="E55" s="124">
        <v>50</v>
      </c>
      <c r="F55" s="124">
        <v>101</v>
      </c>
      <c r="G55" s="124">
        <v>53</v>
      </c>
      <c r="H55" s="124">
        <f t="shared" si="11"/>
        <v>229</v>
      </c>
      <c r="I55" s="124">
        <v>25</v>
      </c>
      <c r="J55" s="261" t="s">
        <v>591</v>
      </c>
      <c r="K55" s="189"/>
      <c r="N55" s="195"/>
    </row>
    <row r="56" spans="2:14" ht="28" hidden="1">
      <c r="B56" s="124">
        <v>2026</v>
      </c>
      <c r="C56" s="124" t="s">
        <v>616</v>
      </c>
      <c r="D56" s="124">
        <v>25</v>
      </c>
      <c r="E56" s="124">
        <v>50</v>
      </c>
      <c r="F56" s="124">
        <v>101</v>
      </c>
      <c r="G56" s="124">
        <v>53</v>
      </c>
      <c r="H56" s="124">
        <f t="shared" ref="H56" si="27">SUM(D56:G56)</f>
        <v>229</v>
      </c>
      <c r="I56" s="124">
        <v>25</v>
      </c>
      <c r="J56" s="261" t="s">
        <v>591</v>
      </c>
      <c r="K56" s="189"/>
      <c r="N56" s="195"/>
    </row>
    <row r="57" spans="2:14" ht="28">
      <c r="B57" s="177">
        <v>2026</v>
      </c>
      <c r="C57" s="177" t="s">
        <v>620</v>
      </c>
      <c r="D57" s="177">
        <v>15</v>
      </c>
      <c r="E57" s="177">
        <v>30</v>
      </c>
      <c r="F57" s="177">
        <v>51</v>
      </c>
      <c r="G57" s="177">
        <f>53+40</f>
        <v>93</v>
      </c>
      <c r="H57" s="177">
        <f t="shared" ref="H57" si="28">SUM(D57:G57)</f>
        <v>189</v>
      </c>
      <c r="I57" s="177">
        <f>25+40</f>
        <v>65</v>
      </c>
      <c r="J57" s="258" t="s">
        <v>626</v>
      </c>
      <c r="K57" s="189"/>
      <c r="N57" s="195"/>
    </row>
    <row r="58" spans="2:14" ht="43">
      <c r="B58" s="124">
        <v>2026</v>
      </c>
      <c r="C58" s="124" t="s">
        <v>351</v>
      </c>
      <c r="D58" s="35">
        <v>15</v>
      </c>
      <c r="E58" s="35">
        <v>30</v>
      </c>
      <c r="F58" s="153">
        <v>51</v>
      </c>
      <c r="G58" s="124">
        <f>53+40</f>
        <v>93</v>
      </c>
      <c r="H58" s="124">
        <f t="shared" si="11"/>
        <v>189</v>
      </c>
      <c r="I58" s="124">
        <f>25+40</f>
        <v>65</v>
      </c>
      <c r="J58" s="244" t="s">
        <v>623</v>
      </c>
      <c r="K58" s="189"/>
      <c r="N58" s="195"/>
    </row>
    <row r="59" spans="2:14" ht="29">
      <c r="B59" s="124">
        <v>2026</v>
      </c>
      <c r="C59" s="124" t="s">
        <v>352</v>
      </c>
      <c r="D59" s="35">
        <v>25</v>
      </c>
      <c r="E59" s="35">
        <v>50</v>
      </c>
      <c r="F59" s="153">
        <v>143</v>
      </c>
      <c r="G59" s="124">
        <v>33</v>
      </c>
      <c r="H59" s="124">
        <f t="shared" si="11"/>
        <v>251</v>
      </c>
      <c r="I59" s="124" t="s">
        <v>7</v>
      </c>
      <c r="J59" s="244" t="s">
        <v>601</v>
      </c>
      <c r="K59" s="189"/>
      <c r="N59" s="195"/>
    </row>
    <row r="60" spans="2:14">
      <c r="B60" s="124">
        <v>2026</v>
      </c>
      <c r="C60" s="124" t="s">
        <v>353</v>
      </c>
      <c r="D60" s="35">
        <v>25</v>
      </c>
      <c r="E60" s="35">
        <v>50</v>
      </c>
      <c r="F60" s="153">
        <v>139</v>
      </c>
      <c r="G60" s="124">
        <v>33</v>
      </c>
      <c r="H60" s="124">
        <f t="shared" si="11"/>
        <v>247</v>
      </c>
      <c r="I60" s="124" t="s">
        <v>7</v>
      </c>
      <c r="J60" s="241" t="s">
        <v>7</v>
      </c>
      <c r="K60" s="189"/>
      <c r="N60" s="195"/>
    </row>
    <row r="61" spans="2:14">
      <c r="B61" s="124">
        <v>2026</v>
      </c>
      <c r="C61" s="124" t="s">
        <v>354</v>
      </c>
      <c r="D61" s="242">
        <v>25</v>
      </c>
      <c r="E61" s="35">
        <v>50</v>
      </c>
      <c r="F61" s="153">
        <v>136</v>
      </c>
      <c r="G61" s="124">
        <v>33</v>
      </c>
      <c r="H61" s="124">
        <f t="shared" si="11"/>
        <v>244</v>
      </c>
      <c r="I61" s="124" t="s">
        <v>7</v>
      </c>
      <c r="J61" s="241" t="s">
        <v>553</v>
      </c>
      <c r="K61" s="189"/>
      <c r="N61" s="195"/>
    </row>
    <row r="62" spans="2:14">
      <c r="B62" s="124">
        <v>2027</v>
      </c>
      <c r="C62" s="124" t="s">
        <v>355</v>
      </c>
      <c r="D62" s="242">
        <v>25</v>
      </c>
      <c r="E62" s="242">
        <v>50</v>
      </c>
      <c r="F62" s="153">
        <v>133</v>
      </c>
      <c r="G62" s="124">
        <v>33</v>
      </c>
      <c r="H62" s="124">
        <f t="shared" si="11"/>
        <v>241</v>
      </c>
      <c r="I62" s="124" t="s">
        <v>7</v>
      </c>
      <c r="J62" s="241" t="s">
        <v>554</v>
      </c>
      <c r="K62" s="189"/>
      <c r="N62" s="195"/>
    </row>
    <row r="63" spans="2:14">
      <c r="B63" s="124">
        <v>2027</v>
      </c>
      <c r="C63" s="124" t="s">
        <v>356</v>
      </c>
      <c r="D63" s="242">
        <v>25</v>
      </c>
      <c r="E63" s="242">
        <v>50</v>
      </c>
      <c r="F63" s="153">
        <v>130</v>
      </c>
      <c r="G63" s="124">
        <v>33</v>
      </c>
      <c r="H63" s="124">
        <f t="shared" si="11"/>
        <v>238</v>
      </c>
      <c r="I63" s="124" t="s">
        <v>7</v>
      </c>
      <c r="J63" s="241" t="s">
        <v>7</v>
      </c>
      <c r="K63" s="189"/>
      <c r="N63" s="195"/>
    </row>
    <row r="64" spans="2:14">
      <c r="B64" s="124">
        <v>2027</v>
      </c>
      <c r="C64" s="124" t="s">
        <v>540</v>
      </c>
      <c r="D64" s="242">
        <v>25</v>
      </c>
      <c r="E64" s="242">
        <v>50</v>
      </c>
      <c r="F64" s="153">
        <v>127</v>
      </c>
      <c r="G64" s="124">
        <v>33</v>
      </c>
      <c r="H64" s="124">
        <f t="shared" ref="H64:H85" si="29">SUM(D64:G64)</f>
        <v>235</v>
      </c>
      <c r="I64" s="124" t="s">
        <v>7</v>
      </c>
      <c r="J64" s="241" t="s">
        <v>7</v>
      </c>
      <c r="K64" s="189"/>
      <c r="N64" s="195"/>
    </row>
    <row r="65" spans="2:14">
      <c r="B65" s="124">
        <v>2027</v>
      </c>
      <c r="C65" s="124" t="s">
        <v>357</v>
      </c>
      <c r="D65" s="242">
        <v>25</v>
      </c>
      <c r="E65" s="242">
        <v>50</v>
      </c>
      <c r="F65" s="153">
        <v>109</v>
      </c>
      <c r="G65" s="124">
        <v>33</v>
      </c>
      <c r="H65" s="124">
        <f t="shared" si="29"/>
        <v>217</v>
      </c>
      <c r="I65" s="124" t="s">
        <v>7</v>
      </c>
      <c r="J65" s="241" t="s">
        <v>7</v>
      </c>
      <c r="K65" s="189"/>
      <c r="N65" s="195"/>
    </row>
    <row r="66" spans="2:14">
      <c r="B66" s="124">
        <v>2027</v>
      </c>
      <c r="C66" s="124" t="s">
        <v>358</v>
      </c>
      <c r="D66" s="242">
        <v>25</v>
      </c>
      <c r="E66" s="242">
        <v>50</v>
      </c>
      <c r="F66" s="153">
        <v>121</v>
      </c>
      <c r="G66" s="124">
        <v>33</v>
      </c>
      <c r="H66" s="124">
        <f t="shared" si="29"/>
        <v>229</v>
      </c>
      <c r="I66" s="124" t="s">
        <v>7</v>
      </c>
      <c r="J66" s="241" t="s">
        <v>7</v>
      </c>
      <c r="K66" s="189"/>
      <c r="N66" s="195"/>
    </row>
    <row r="67" spans="2:14" ht="29">
      <c r="B67" s="124">
        <v>2027</v>
      </c>
      <c r="C67" s="124" t="s">
        <v>349</v>
      </c>
      <c r="D67" s="242">
        <v>25</v>
      </c>
      <c r="E67" s="242">
        <v>50</v>
      </c>
      <c r="F67" s="243">
        <v>118</v>
      </c>
      <c r="G67" s="124">
        <v>33</v>
      </c>
      <c r="H67" s="124">
        <f t="shared" si="29"/>
        <v>226</v>
      </c>
      <c r="I67" s="124" t="s">
        <v>7</v>
      </c>
      <c r="J67" s="244" t="s">
        <v>586</v>
      </c>
      <c r="K67" s="189"/>
      <c r="N67" s="195"/>
    </row>
    <row r="68" spans="2:14">
      <c r="B68" s="124">
        <v>2027</v>
      </c>
      <c r="C68" s="124" t="s">
        <v>541</v>
      </c>
      <c r="D68" s="35">
        <v>25</v>
      </c>
      <c r="E68" s="242">
        <v>50</v>
      </c>
      <c r="F68" s="243">
        <v>115</v>
      </c>
      <c r="G68" s="124">
        <v>33</v>
      </c>
      <c r="H68" s="124">
        <f t="shared" si="29"/>
        <v>223</v>
      </c>
      <c r="I68" s="124" t="s">
        <v>7</v>
      </c>
      <c r="J68" s="259" t="s">
        <v>555</v>
      </c>
      <c r="K68" s="189"/>
      <c r="N68" s="195"/>
    </row>
    <row r="69" spans="2:14">
      <c r="B69" s="124">
        <v>2027</v>
      </c>
      <c r="C69" s="124" t="s">
        <v>350</v>
      </c>
      <c r="D69" s="35">
        <v>25</v>
      </c>
      <c r="E69" s="245">
        <v>50</v>
      </c>
      <c r="F69" s="243">
        <v>112</v>
      </c>
      <c r="G69" s="124">
        <v>33</v>
      </c>
      <c r="H69" s="124">
        <f t="shared" si="29"/>
        <v>220</v>
      </c>
      <c r="I69" s="124" t="s">
        <v>7</v>
      </c>
      <c r="J69" s="260"/>
      <c r="K69" s="189"/>
      <c r="N69" s="195"/>
    </row>
    <row r="70" spans="2:14">
      <c r="B70" s="124">
        <v>2027</v>
      </c>
      <c r="C70" s="124" t="s">
        <v>351</v>
      </c>
      <c r="D70" s="35">
        <v>25</v>
      </c>
      <c r="E70" s="35">
        <v>50</v>
      </c>
      <c r="F70" s="243">
        <v>110</v>
      </c>
      <c r="G70" s="124">
        <v>33</v>
      </c>
      <c r="H70" s="124">
        <f t="shared" si="29"/>
        <v>218</v>
      </c>
      <c r="I70" s="124" t="s">
        <v>7</v>
      </c>
      <c r="J70" s="260"/>
      <c r="K70" s="189"/>
      <c r="N70" s="195"/>
    </row>
    <row r="71" spans="2:14">
      <c r="B71" s="124">
        <v>2027</v>
      </c>
      <c r="C71" s="124" t="s">
        <v>352</v>
      </c>
      <c r="D71" s="35">
        <v>25</v>
      </c>
      <c r="E71" s="35">
        <v>50</v>
      </c>
      <c r="F71" s="243">
        <v>107</v>
      </c>
      <c r="G71" s="124">
        <v>33</v>
      </c>
      <c r="H71" s="124">
        <f t="shared" si="29"/>
        <v>215</v>
      </c>
      <c r="I71" s="124" t="s">
        <v>7</v>
      </c>
      <c r="J71" s="260"/>
      <c r="K71" s="189"/>
      <c r="N71" s="195"/>
    </row>
    <row r="72" spans="2:14">
      <c r="B72" s="124">
        <v>2027</v>
      </c>
      <c r="C72" s="124" t="s">
        <v>353</v>
      </c>
      <c r="D72" s="35">
        <v>25</v>
      </c>
      <c r="E72" s="35">
        <v>50</v>
      </c>
      <c r="F72" s="243">
        <v>104</v>
      </c>
      <c r="G72" s="124">
        <v>33</v>
      </c>
      <c r="H72" s="124">
        <f t="shared" si="29"/>
        <v>212</v>
      </c>
      <c r="I72" s="124" t="s">
        <v>7</v>
      </c>
      <c r="J72" s="260"/>
      <c r="K72" s="189"/>
      <c r="N72" s="195"/>
    </row>
    <row r="73" spans="2:14">
      <c r="B73" s="124">
        <v>2027</v>
      </c>
      <c r="C73" s="124" t="s">
        <v>354</v>
      </c>
      <c r="D73" s="35">
        <v>25</v>
      </c>
      <c r="E73" s="35">
        <v>45</v>
      </c>
      <c r="F73" s="153">
        <v>91</v>
      </c>
      <c r="G73" s="124">
        <v>33</v>
      </c>
      <c r="H73" s="124">
        <f t="shared" si="29"/>
        <v>194</v>
      </c>
      <c r="I73" s="124" t="s">
        <v>7</v>
      </c>
      <c r="J73" s="260"/>
      <c r="K73" s="189"/>
      <c r="N73" s="195"/>
    </row>
    <row r="74" spans="2:14">
      <c r="B74" s="124">
        <v>2028</v>
      </c>
      <c r="C74" s="124" t="s">
        <v>355</v>
      </c>
      <c r="D74" s="35">
        <v>25</v>
      </c>
      <c r="E74" s="35">
        <v>45</v>
      </c>
      <c r="F74" s="153">
        <v>104</v>
      </c>
      <c r="G74" s="124">
        <v>33</v>
      </c>
      <c r="H74" s="124">
        <f t="shared" si="29"/>
        <v>207</v>
      </c>
      <c r="I74" s="124" t="s">
        <v>7</v>
      </c>
      <c r="J74" s="260"/>
      <c r="K74" s="189"/>
      <c r="N74" s="189"/>
    </row>
    <row r="75" spans="2:14">
      <c r="B75" s="124">
        <v>2028</v>
      </c>
      <c r="C75" s="124" t="s">
        <v>356</v>
      </c>
      <c r="D75" s="35">
        <v>25</v>
      </c>
      <c r="E75" s="35">
        <v>35</v>
      </c>
      <c r="F75" s="153">
        <v>111</v>
      </c>
      <c r="G75" s="124">
        <v>33</v>
      </c>
      <c r="H75" s="124">
        <f t="shared" si="29"/>
        <v>204</v>
      </c>
      <c r="I75" s="124" t="s">
        <v>7</v>
      </c>
      <c r="J75" s="260"/>
      <c r="K75" s="189"/>
      <c r="N75" s="195"/>
    </row>
    <row r="76" spans="2:14">
      <c r="B76" s="124">
        <v>2028</v>
      </c>
      <c r="C76" s="124" t="s">
        <v>540</v>
      </c>
      <c r="D76" s="35">
        <v>25</v>
      </c>
      <c r="E76" s="35">
        <v>35</v>
      </c>
      <c r="F76" s="153">
        <v>109</v>
      </c>
      <c r="G76" s="124">
        <v>33</v>
      </c>
      <c r="H76" s="124">
        <f t="shared" si="29"/>
        <v>202</v>
      </c>
      <c r="I76" s="124" t="s">
        <v>7</v>
      </c>
      <c r="J76" s="260"/>
      <c r="K76" s="189"/>
      <c r="N76" s="195"/>
    </row>
    <row r="77" spans="2:14">
      <c r="B77" s="124">
        <v>2028</v>
      </c>
      <c r="C77" s="124" t="s">
        <v>357</v>
      </c>
      <c r="D77" s="35">
        <v>25</v>
      </c>
      <c r="E77" s="35">
        <v>25</v>
      </c>
      <c r="F77" s="153">
        <v>116</v>
      </c>
      <c r="G77" s="124">
        <v>33</v>
      </c>
      <c r="H77" s="124">
        <f t="shared" si="29"/>
        <v>199</v>
      </c>
      <c r="I77" s="124" t="s">
        <v>7</v>
      </c>
      <c r="J77" s="260"/>
      <c r="K77" s="189"/>
      <c r="N77" s="195"/>
    </row>
    <row r="78" spans="2:14">
      <c r="B78" s="124">
        <v>2028</v>
      </c>
      <c r="C78" s="124" t="s">
        <v>358</v>
      </c>
      <c r="D78" s="35">
        <v>25</v>
      </c>
      <c r="E78" s="35">
        <v>25</v>
      </c>
      <c r="F78" s="153">
        <v>114</v>
      </c>
      <c r="G78" s="124">
        <v>33</v>
      </c>
      <c r="H78" s="124">
        <f t="shared" si="29"/>
        <v>197</v>
      </c>
      <c r="I78" s="124" t="s">
        <v>7</v>
      </c>
      <c r="J78" s="260"/>
      <c r="K78" s="189"/>
      <c r="N78" s="195"/>
    </row>
    <row r="79" spans="2:14">
      <c r="B79" s="124">
        <v>2028</v>
      </c>
      <c r="C79" s="124" t="s">
        <v>349</v>
      </c>
      <c r="D79" s="35">
        <v>25</v>
      </c>
      <c r="E79" s="35">
        <v>25</v>
      </c>
      <c r="F79" s="153">
        <v>111</v>
      </c>
      <c r="G79" s="124">
        <v>33</v>
      </c>
      <c r="H79" s="124">
        <f t="shared" si="29"/>
        <v>194</v>
      </c>
      <c r="I79" s="124" t="s">
        <v>7</v>
      </c>
      <c r="J79" s="260"/>
      <c r="K79" s="189"/>
      <c r="N79" s="195"/>
    </row>
    <row r="80" spans="2:14">
      <c r="B80" s="124">
        <v>2028</v>
      </c>
      <c r="C80" s="124" t="s">
        <v>541</v>
      </c>
      <c r="D80" s="35">
        <v>25</v>
      </c>
      <c r="E80" s="35">
        <v>25</v>
      </c>
      <c r="F80" s="153">
        <v>109</v>
      </c>
      <c r="G80" s="124">
        <v>33</v>
      </c>
      <c r="H80" s="124">
        <f t="shared" si="29"/>
        <v>192</v>
      </c>
      <c r="I80" s="124" t="s">
        <v>7</v>
      </c>
      <c r="J80" s="260"/>
      <c r="K80" s="189"/>
      <c r="N80" s="195"/>
    </row>
    <row r="81" spans="2:14">
      <c r="B81" s="124">
        <v>2028</v>
      </c>
      <c r="C81" s="124" t="s">
        <v>350</v>
      </c>
      <c r="D81" s="35">
        <v>25</v>
      </c>
      <c r="E81" s="35">
        <v>25</v>
      </c>
      <c r="F81" s="153">
        <v>106</v>
      </c>
      <c r="G81" s="124">
        <v>33</v>
      </c>
      <c r="H81" s="124">
        <f t="shared" si="29"/>
        <v>189</v>
      </c>
      <c r="I81" s="124" t="s">
        <v>7</v>
      </c>
      <c r="J81" s="30"/>
      <c r="K81" s="189"/>
      <c r="N81" s="195"/>
    </row>
    <row r="82" spans="2:14" ht="29">
      <c r="B82" s="124">
        <v>2028</v>
      </c>
      <c r="C82" s="124" t="s">
        <v>351</v>
      </c>
      <c r="D82" s="242">
        <v>25</v>
      </c>
      <c r="E82" s="35">
        <v>25</v>
      </c>
      <c r="F82" s="153">
        <v>104</v>
      </c>
      <c r="G82" s="124">
        <v>33</v>
      </c>
      <c r="H82" s="124">
        <f t="shared" si="29"/>
        <v>187</v>
      </c>
      <c r="I82" s="124" t="s">
        <v>7</v>
      </c>
      <c r="J82" s="244" t="s">
        <v>585</v>
      </c>
      <c r="K82" s="189"/>
      <c r="N82" s="195"/>
    </row>
    <row r="83" spans="2:14">
      <c r="B83" s="124">
        <v>2028</v>
      </c>
      <c r="C83" s="124" t="s">
        <v>352</v>
      </c>
      <c r="D83" s="242">
        <v>25</v>
      </c>
      <c r="E83" s="242">
        <v>25</v>
      </c>
      <c r="F83" s="153">
        <v>102</v>
      </c>
      <c r="G83" s="124">
        <v>33</v>
      </c>
      <c r="H83" s="124">
        <f t="shared" si="29"/>
        <v>185</v>
      </c>
      <c r="I83" s="124" t="s">
        <v>7</v>
      </c>
      <c r="J83" s="244" t="s">
        <v>556</v>
      </c>
      <c r="K83" s="189"/>
      <c r="N83" s="195"/>
    </row>
    <row r="84" spans="2:14" ht="29" customHeight="1">
      <c r="B84" s="124">
        <v>2028</v>
      </c>
      <c r="C84" s="124" t="s">
        <v>353</v>
      </c>
      <c r="D84" s="242">
        <v>25</v>
      </c>
      <c r="E84" s="242">
        <v>25</v>
      </c>
      <c r="F84" s="153">
        <v>100</v>
      </c>
      <c r="G84" s="124">
        <v>33</v>
      </c>
      <c r="H84" s="124">
        <f t="shared" si="29"/>
        <v>183</v>
      </c>
      <c r="I84" s="124" t="s">
        <v>7</v>
      </c>
      <c r="J84" s="244" t="s">
        <v>7</v>
      </c>
      <c r="K84" s="189"/>
      <c r="N84" s="195"/>
    </row>
    <row r="85" spans="2:14" ht="29">
      <c r="B85" s="124">
        <v>2028</v>
      </c>
      <c r="C85" s="124" t="s">
        <v>354</v>
      </c>
      <c r="D85" s="197">
        <v>25</v>
      </c>
      <c r="E85" s="197">
        <v>25</v>
      </c>
      <c r="F85" s="197">
        <v>97</v>
      </c>
      <c r="G85" s="124">
        <v>33</v>
      </c>
      <c r="H85" s="124">
        <f t="shared" si="29"/>
        <v>180</v>
      </c>
      <c r="I85" s="124" t="s">
        <v>7</v>
      </c>
      <c r="J85" s="244" t="s">
        <v>584</v>
      </c>
      <c r="K85" s="189"/>
      <c r="N85" s="195"/>
    </row>
    <row r="86" spans="2:14">
      <c r="J86" s="235"/>
      <c r="K86" s="189"/>
      <c r="N86" s="155"/>
    </row>
    <row r="87" spans="2:14">
      <c r="L87" s="195"/>
      <c r="M87" s="155"/>
      <c r="N87" s="155"/>
    </row>
    <row r="88" spans="2:14">
      <c r="L88" s="195"/>
      <c r="M88" s="155"/>
      <c r="N88" s="155"/>
    </row>
    <row r="89" spans="2:14">
      <c r="N89" s="155"/>
    </row>
  </sheetData>
  <phoneticPr fontId="23" type="noConversion"/>
  <pageMargins left="0.7" right="0.7" top="0.75" bottom="0.75" header="0.3" footer="0.3"/>
  <pageSetup paperSize="9"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2947A6-AF06-2340-A2A7-E8424FFE693D}">
  <dimension ref="B1:R33"/>
  <sheetViews>
    <sheetView showGridLines="0" zoomScale="150" zoomScaleNormal="150" workbookViewId="0">
      <pane xSplit="1" ySplit="12" topLeftCell="B16" activePane="bottomRight" state="frozen"/>
      <selection activeCell="F23" sqref="F23"/>
      <selection pane="topRight" activeCell="F23" sqref="F23"/>
      <selection pane="bottomLeft" activeCell="F23" sqref="F23"/>
      <selection pane="bottomRight" activeCell="B2" sqref="B2"/>
    </sheetView>
  </sheetViews>
  <sheetFormatPr baseColWidth="10" defaultColWidth="18" defaultRowHeight="12"/>
  <cols>
    <col min="1" max="1" width="2.6640625" style="92" customWidth="1"/>
    <col min="2" max="3" width="18.1640625" style="92" customWidth="1"/>
    <col min="4" max="4" width="19.5" style="92" customWidth="1"/>
    <col min="5" max="5" width="18.1640625" style="92" customWidth="1"/>
    <col min="6" max="9" width="13.1640625" style="92" customWidth="1"/>
    <col min="10" max="11" width="23.5" style="92" customWidth="1"/>
    <col min="12" max="12" width="18" style="92"/>
    <col min="13" max="13" width="23.33203125" style="92" customWidth="1"/>
    <col min="14" max="14" width="50.1640625" style="92" bestFit="1" customWidth="1"/>
    <col min="15" max="15" width="18" style="92"/>
    <col min="16" max="16" width="7.6640625" style="92" customWidth="1"/>
    <col min="17" max="17" width="16.6640625" style="92" customWidth="1"/>
    <col min="18" max="18" width="11.5" style="92" customWidth="1"/>
    <col min="19" max="16384" width="18" style="92"/>
  </cols>
  <sheetData>
    <row r="1" spans="2:18">
      <c r="B1" s="351"/>
      <c r="C1" s="352"/>
      <c r="D1" s="178"/>
      <c r="E1" s="178"/>
    </row>
    <row r="2" spans="2:18" ht="13">
      <c r="B2" s="55" t="s">
        <v>298</v>
      </c>
      <c r="C2" s="93">
        <v>46286</v>
      </c>
      <c r="F2" s="62"/>
    </row>
    <row r="3" spans="2:18">
      <c r="B3" s="92" t="s">
        <v>547</v>
      </c>
      <c r="F3" s="353" t="s">
        <v>369</v>
      </c>
      <c r="G3" s="354"/>
      <c r="H3" s="354"/>
      <c r="I3" s="355"/>
      <c r="M3" s="94" t="s">
        <v>299</v>
      </c>
      <c r="N3" s="94" t="s">
        <v>300</v>
      </c>
      <c r="P3" s="95" t="s">
        <v>217</v>
      </c>
      <c r="Q3" s="95" t="s">
        <v>301</v>
      </c>
      <c r="R3" s="95" t="s">
        <v>302</v>
      </c>
    </row>
    <row r="4" spans="2:18" ht="26">
      <c r="B4" s="55" t="s">
        <v>303</v>
      </c>
      <c r="C4" s="96" t="s">
        <v>304</v>
      </c>
      <c r="D4" s="97" t="s">
        <v>342</v>
      </c>
      <c r="E4" s="115" t="s">
        <v>344</v>
      </c>
      <c r="F4" s="98" t="s">
        <v>630</v>
      </c>
      <c r="G4" s="98" t="s">
        <v>631</v>
      </c>
      <c r="H4" s="98" t="s">
        <v>629</v>
      </c>
      <c r="I4" s="98" t="s">
        <v>628</v>
      </c>
      <c r="M4" s="99" t="s">
        <v>238</v>
      </c>
      <c r="N4" s="99" t="s">
        <v>305</v>
      </c>
      <c r="P4" s="356" t="s">
        <v>238</v>
      </c>
      <c r="Q4" s="56" t="s">
        <v>306</v>
      </c>
      <c r="R4" s="100" t="s">
        <v>307</v>
      </c>
    </row>
    <row r="5" spans="2:18">
      <c r="B5" s="99" t="s">
        <v>308</v>
      </c>
      <c r="C5" s="127">
        <f>SUM(G21,G27)</f>
        <v>2170</v>
      </c>
      <c r="D5" s="127">
        <f>SUM(H21,H27)</f>
        <v>5450</v>
      </c>
      <c r="E5" s="127">
        <f>SUM(F5:I5)</f>
        <v>3792</v>
      </c>
      <c r="F5" s="127">
        <f>SUMIFS($H$31:$H$33,$J$31:$J$33,F$4)</f>
        <v>0</v>
      </c>
      <c r="G5" s="127">
        <f>SUMIFS($H$31:$H$33,$J$31:$J$33,G$4)</f>
        <v>0</v>
      </c>
      <c r="H5" s="127">
        <f>SUMIFS($H$31:$H$33,$J$31:$J$33,H$4)</f>
        <v>1507</v>
      </c>
      <c r="I5" s="127">
        <f>SUMIFS($H$31:$H$33,$J$31:$J$33,I$4)</f>
        <v>2285</v>
      </c>
      <c r="M5" s="99" t="s">
        <v>239</v>
      </c>
      <c r="N5" s="99" t="s">
        <v>309</v>
      </c>
      <c r="P5" s="356"/>
      <c r="Q5" s="56" t="s">
        <v>310</v>
      </c>
      <c r="R5" s="56" t="s">
        <v>311</v>
      </c>
    </row>
    <row r="6" spans="2:18">
      <c r="B6" s="101" t="s">
        <v>312</v>
      </c>
      <c r="C6" s="251">
        <f>C5/$C$8</f>
        <v>9.8190045248868785</v>
      </c>
      <c r="D6" s="101">
        <f t="shared" ref="D6" si="0">D5/$C$8</f>
        <v>24.660633484162897</v>
      </c>
      <c r="E6" s="116">
        <f>E5/$C$8</f>
        <v>17.158371040723981</v>
      </c>
      <c r="F6" s="116">
        <f>F5/$C$8</f>
        <v>0</v>
      </c>
      <c r="G6" s="116">
        <f>G5/$C$8</f>
        <v>0</v>
      </c>
      <c r="H6" s="116">
        <f t="shared" ref="H6:I6" si="1">H5/$C$8</f>
        <v>6.8190045248868776</v>
      </c>
      <c r="I6" s="116">
        <f t="shared" si="1"/>
        <v>10.339366515837105</v>
      </c>
      <c r="M6" s="99" t="s">
        <v>304</v>
      </c>
      <c r="N6" s="99" t="s">
        <v>313</v>
      </c>
      <c r="P6" s="356"/>
      <c r="Q6" s="56" t="s">
        <v>314</v>
      </c>
      <c r="R6" s="102" t="s">
        <v>315</v>
      </c>
    </row>
    <row r="7" spans="2:18" ht="26">
      <c r="F7" s="103"/>
      <c r="G7" s="103"/>
      <c r="M7" s="99" t="s">
        <v>316</v>
      </c>
      <c r="N7" s="104" t="s">
        <v>317</v>
      </c>
      <c r="P7" s="356"/>
      <c r="Q7" s="56" t="s">
        <v>318</v>
      </c>
      <c r="R7" s="105" t="s">
        <v>319</v>
      </c>
    </row>
    <row r="8" spans="2:18" ht="16">
      <c r="B8" s="55" t="s">
        <v>320</v>
      </c>
      <c r="C8" s="106">
        <v>221</v>
      </c>
      <c r="F8" s="299"/>
      <c r="G8" s="299"/>
      <c r="H8" s="299"/>
      <c r="I8" s="299"/>
      <c r="M8" s="99" t="s">
        <v>321</v>
      </c>
      <c r="N8" s="99" t="s">
        <v>322</v>
      </c>
    </row>
    <row r="9" spans="2:18" ht="26">
      <c r="B9" s="55" t="s">
        <v>343</v>
      </c>
      <c r="C9" s="93">
        <f>WORKDAY(C2,ROUNDDOWN(SUM(C6:D6),0))-1</f>
        <v>46331</v>
      </c>
      <c r="F9" s="107"/>
      <c r="G9" s="103"/>
      <c r="M9" s="99" t="s">
        <v>323</v>
      </c>
      <c r="N9" s="99" t="s">
        <v>324</v>
      </c>
    </row>
    <row r="10" spans="2:18">
      <c r="G10" s="162"/>
      <c r="H10" s="162"/>
      <c r="M10" s="99" t="s">
        <v>325</v>
      </c>
      <c r="N10" s="99" t="s">
        <v>326</v>
      </c>
    </row>
    <row r="11" spans="2:18">
      <c r="B11" s="357" t="s">
        <v>359</v>
      </c>
      <c r="C11" s="357"/>
      <c r="D11" s="357"/>
      <c r="E11" s="357"/>
      <c r="F11" s="357"/>
      <c r="G11" s="357"/>
      <c r="H11" s="357"/>
      <c r="M11" s="99" t="s">
        <v>327</v>
      </c>
      <c r="N11" s="99" t="s">
        <v>328</v>
      </c>
    </row>
    <row r="12" spans="2:18" ht="39">
      <c r="B12" s="108" t="s">
        <v>22</v>
      </c>
      <c r="C12" s="55" t="s">
        <v>290</v>
      </c>
      <c r="D12" s="55" t="s">
        <v>329</v>
      </c>
      <c r="E12" s="55" t="s">
        <v>330</v>
      </c>
      <c r="F12" s="55" t="s">
        <v>331</v>
      </c>
      <c r="G12" s="55" t="s">
        <v>332</v>
      </c>
      <c r="H12" s="55" t="s">
        <v>333</v>
      </c>
    </row>
    <row r="13" spans="2:18">
      <c r="B13" s="358" t="s">
        <v>166</v>
      </c>
      <c r="C13" s="358"/>
      <c r="D13" s="358"/>
      <c r="E13" s="358"/>
      <c r="F13" s="358"/>
      <c r="G13" s="358"/>
      <c r="H13" s="358"/>
    </row>
    <row r="14" spans="2:18">
      <c r="B14" s="65" t="s">
        <v>199</v>
      </c>
      <c r="C14" s="65" t="s">
        <v>38</v>
      </c>
      <c r="D14" s="65" t="s">
        <v>195</v>
      </c>
      <c r="E14" s="65" t="s">
        <v>618</v>
      </c>
      <c r="F14" s="65" t="s">
        <v>238</v>
      </c>
      <c r="G14" s="307">
        <v>9</v>
      </c>
      <c r="H14" s="307">
        <v>0</v>
      </c>
      <c r="J14" s="199"/>
      <c r="K14" s="199"/>
    </row>
    <row r="15" spans="2:18" ht="13">
      <c r="B15" s="65" t="s">
        <v>199</v>
      </c>
      <c r="C15" s="8" t="s">
        <v>46</v>
      </c>
      <c r="D15" s="8" t="s">
        <v>191</v>
      </c>
      <c r="E15" s="65" t="s">
        <v>619</v>
      </c>
      <c r="F15" s="65" t="s">
        <v>238</v>
      </c>
      <c r="G15" s="307">
        <v>1</v>
      </c>
      <c r="H15" s="308">
        <v>395</v>
      </c>
      <c r="J15" s="199"/>
      <c r="K15" s="199"/>
    </row>
    <row r="16" spans="2:18" ht="13">
      <c r="B16" s="65" t="s">
        <v>199</v>
      </c>
      <c r="C16" s="8" t="s">
        <v>48</v>
      </c>
      <c r="D16" s="8" t="s">
        <v>193</v>
      </c>
      <c r="E16" s="65" t="s">
        <v>605</v>
      </c>
      <c r="F16" s="65" t="s">
        <v>238</v>
      </c>
      <c r="G16" s="307">
        <v>180</v>
      </c>
      <c r="H16" s="308">
        <v>300</v>
      </c>
      <c r="J16" s="199"/>
      <c r="K16" s="199"/>
    </row>
    <row r="17" spans="2:11">
      <c r="B17" s="65" t="s">
        <v>199</v>
      </c>
      <c r="C17" s="65" t="s">
        <v>47</v>
      </c>
      <c r="D17" s="65" t="s">
        <v>192</v>
      </c>
      <c r="E17" s="65" t="s">
        <v>605</v>
      </c>
      <c r="F17" s="65" t="s">
        <v>238</v>
      </c>
      <c r="G17" s="307">
        <v>307</v>
      </c>
      <c r="H17" s="307">
        <v>615</v>
      </c>
      <c r="J17" s="199"/>
      <c r="K17" s="199"/>
    </row>
    <row r="18" spans="2:11">
      <c r="B18" s="65" t="s">
        <v>199</v>
      </c>
      <c r="C18" s="65" t="s">
        <v>40</v>
      </c>
      <c r="D18" s="65" t="s">
        <v>196</v>
      </c>
      <c r="E18" s="65" t="s">
        <v>605</v>
      </c>
      <c r="F18" s="65" t="s">
        <v>238</v>
      </c>
      <c r="G18" s="307">
        <v>232</v>
      </c>
      <c r="H18" s="307">
        <v>739</v>
      </c>
      <c r="J18" s="199"/>
      <c r="K18" s="199"/>
    </row>
    <row r="19" spans="2:11">
      <c r="B19" s="65" t="s">
        <v>199</v>
      </c>
      <c r="C19" s="65" t="s">
        <v>41</v>
      </c>
      <c r="D19" s="65" t="s">
        <v>198</v>
      </c>
      <c r="E19" s="65" t="s">
        <v>579</v>
      </c>
      <c r="F19" s="65" t="s">
        <v>239</v>
      </c>
      <c r="G19" s="307">
        <v>43</v>
      </c>
      <c r="H19" s="308">
        <v>1474</v>
      </c>
      <c r="J19" s="199"/>
      <c r="K19" s="199"/>
    </row>
    <row r="20" spans="2:11">
      <c r="B20" s="65" t="s">
        <v>199</v>
      </c>
      <c r="C20" s="65" t="s">
        <v>39</v>
      </c>
      <c r="D20" s="65" t="s">
        <v>197</v>
      </c>
      <c r="E20" s="65" t="s">
        <v>579</v>
      </c>
      <c r="F20" s="65" t="s">
        <v>253</v>
      </c>
      <c r="G20" s="307">
        <v>58</v>
      </c>
      <c r="H20" s="308">
        <v>1546</v>
      </c>
      <c r="J20" s="199"/>
      <c r="K20" s="199"/>
    </row>
    <row r="21" spans="2:11">
      <c r="B21" s="350" t="s">
        <v>334</v>
      </c>
      <c r="C21" s="350"/>
      <c r="D21" s="350"/>
      <c r="E21" s="350"/>
      <c r="F21" s="350"/>
      <c r="G21" s="109">
        <f>SUM(G14:G20)</f>
        <v>830</v>
      </c>
      <c r="H21" s="109">
        <f>SUM(H14:H20)</f>
        <v>5069</v>
      </c>
      <c r="J21" s="199"/>
    </row>
    <row r="22" spans="2:11">
      <c r="B22" s="358" t="s">
        <v>335</v>
      </c>
      <c r="C22" s="358"/>
      <c r="D22" s="358"/>
      <c r="E22" s="358"/>
      <c r="F22" s="358"/>
      <c r="G22" s="358"/>
      <c r="H22" s="358"/>
      <c r="J22" s="199"/>
    </row>
    <row r="23" spans="2:11">
      <c r="B23" s="65" t="s">
        <v>199</v>
      </c>
      <c r="C23" s="65" t="s">
        <v>34</v>
      </c>
      <c r="D23" s="65" t="s">
        <v>35</v>
      </c>
      <c r="E23" s="65" t="s">
        <v>592</v>
      </c>
      <c r="F23" s="65" t="s">
        <v>239</v>
      </c>
      <c r="G23" s="307">
        <v>794</v>
      </c>
      <c r="H23" s="308">
        <v>209</v>
      </c>
      <c r="J23" s="199"/>
      <c r="K23" s="199"/>
    </row>
    <row r="24" spans="2:11">
      <c r="B24" s="65" t="s">
        <v>199</v>
      </c>
      <c r="C24" s="65" t="s">
        <v>30</v>
      </c>
      <c r="D24" s="65" t="s">
        <v>31</v>
      </c>
      <c r="E24" s="65" t="s">
        <v>592</v>
      </c>
      <c r="F24" s="65" t="s">
        <v>239</v>
      </c>
      <c r="G24" s="307">
        <v>236</v>
      </c>
      <c r="H24" s="308">
        <v>57</v>
      </c>
      <c r="J24" s="199"/>
      <c r="K24" s="199"/>
    </row>
    <row r="25" spans="2:11" ht="13">
      <c r="B25" s="65" t="s">
        <v>199</v>
      </c>
      <c r="C25" s="8" t="s">
        <v>28</v>
      </c>
      <c r="D25" s="65" t="s">
        <v>29</v>
      </c>
      <c r="E25" s="65" t="s">
        <v>164</v>
      </c>
      <c r="F25" s="65" t="s">
        <v>239</v>
      </c>
      <c r="G25" s="307">
        <v>283</v>
      </c>
      <c r="H25" s="308">
        <v>81</v>
      </c>
      <c r="J25" s="199"/>
      <c r="K25" s="199"/>
    </row>
    <row r="26" spans="2:11" ht="13">
      <c r="B26" s="65" t="s">
        <v>199</v>
      </c>
      <c r="C26" s="65" t="s">
        <v>26</v>
      </c>
      <c r="D26" s="8" t="s">
        <v>27</v>
      </c>
      <c r="E26" s="65" t="s">
        <v>164</v>
      </c>
      <c r="F26" s="65" t="s">
        <v>239</v>
      </c>
      <c r="G26" s="307">
        <v>27</v>
      </c>
      <c r="H26" s="308">
        <v>34</v>
      </c>
      <c r="J26" s="199"/>
      <c r="K26" s="199"/>
    </row>
    <row r="27" spans="2:11">
      <c r="B27" s="350" t="s">
        <v>334</v>
      </c>
      <c r="C27" s="350"/>
      <c r="D27" s="350"/>
      <c r="E27" s="350"/>
      <c r="F27" s="350"/>
      <c r="G27" s="109">
        <f>SUM(G23:G26)</f>
        <v>1340</v>
      </c>
      <c r="H27" s="109">
        <f>SUM(H23:H26)</f>
        <v>381</v>
      </c>
      <c r="J27" s="199"/>
      <c r="K27" s="199"/>
    </row>
    <row r="28" spans="2:11">
      <c r="B28" s="204"/>
      <c r="C28" s="204"/>
      <c r="D28" s="204"/>
      <c r="E28" s="204"/>
      <c r="F28" s="204"/>
      <c r="G28" s="204"/>
      <c r="H28" s="204"/>
      <c r="J28" s="110"/>
    </row>
    <row r="29" spans="2:11" ht="12" customHeight="1">
      <c r="B29" s="347" t="s">
        <v>345</v>
      </c>
      <c r="C29" s="348"/>
      <c r="D29" s="348"/>
      <c r="E29" s="348"/>
      <c r="F29" s="348"/>
      <c r="G29" s="348"/>
      <c r="H29" s="348"/>
      <c r="I29" s="348"/>
      <c r="J29" s="348"/>
      <c r="K29" s="349"/>
    </row>
    <row r="30" spans="2:11" ht="39">
      <c r="B30" s="108" t="s">
        <v>22</v>
      </c>
      <c r="C30" s="111" t="s">
        <v>290</v>
      </c>
      <c r="D30" s="111" t="s">
        <v>329</v>
      </c>
      <c r="E30" s="111" t="s">
        <v>336</v>
      </c>
      <c r="F30" s="111" t="s">
        <v>337</v>
      </c>
      <c r="G30" s="111" t="s">
        <v>332</v>
      </c>
      <c r="H30" s="111" t="s">
        <v>333</v>
      </c>
      <c r="I30" s="111" t="s">
        <v>338</v>
      </c>
      <c r="J30" s="111" t="s">
        <v>339</v>
      </c>
      <c r="K30" s="111" t="s">
        <v>21</v>
      </c>
    </row>
    <row r="31" spans="2:11" ht="13">
      <c r="B31" s="65" t="s">
        <v>199</v>
      </c>
      <c r="C31" s="8" t="s">
        <v>36</v>
      </c>
      <c r="D31" s="8" t="s">
        <v>180</v>
      </c>
      <c r="E31" s="65" t="s">
        <v>627</v>
      </c>
      <c r="F31" s="65" t="s">
        <v>280</v>
      </c>
      <c r="G31" s="65" t="s">
        <v>7</v>
      </c>
      <c r="H31" s="246">
        <v>1271</v>
      </c>
      <c r="I31" s="252">
        <v>46312</v>
      </c>
      <c r="J31" s="284" t="s">
        <v>628</v>
      </c>
      <c r="K31" s="65" t="s">
        <v>7</v>
      </c>
    </row>
    <row r="32" spans="2:11" ht="13">
      <c r="B32" s="65" t="s">
        <v>199</v>
      </c>
      <c r="C32" s="8" t="s">
        <v>57</v>
      </c>
      <c r="D32" s="8" t="s">
        <v>58</v>
      </c>
      <c r="E32" s="65" t="s">
        <v>549</v>
      </c>
      <c r="F32" s="65" t="s">
        <v>10</v>
      </c>
      <c r="G32" s="65" t="s">
        <v>7</v>
      </c>
      <c r="H32" s="246">
        <v>1507</v>
      </c>
      <c r="I32" s="252">
        <v>46299</v>
      </c>
      <c r="J32" s="284" t="s">
        <v>629</v>
      </c>
      <c r="K32" s="65" t="s">
        <v>7</v>
      </c>
    </row>
    <row r="33" spans="2:11" ht="13">
      <c r="B33" s="65" t="s">
        <v>199</v>
      </c>
      <c r="C33" s="8" t="s">
        <v>59</v>
      </c>
      <c r="D33" s="8" t="s">
        <v>60</v>
      </c>
      <c r="E33" s="65" t="s">
        <v>549</v>
      </c>
      <c r="F33" s="65" t="s">
        <v>10</v>
      </c>
      <c r="G33" s="65" t="s">
        <v>7</v>
      </c>
      <c r="H33" s="246">
        <v>1014</v>
      </c>
      <c r="I33" s="252">
        <v>46307</v>
      </c>
      <c r="J33" s="284" t="s">
        <v>628</v>
      </c>
      <c r="K33" s="65" t="s">
        <v>7</v>
      </c>
    </row>
  </sheetData>
  <mergeCells count="9">
    <mergeCell ref="B29:K29"/>
    <mergeCell ref="B27:F27"/>
    <mergeCell ref="B1:C1"/>
    <mergeCell ref="F3:I3"/>
    <mergeCell ref="P4:P7"/>
    <mergeCell ref="B11:H11"/>
    <mergeCell ref="B13:H13"/>
    <mergeCell ref="B21:F21"/>
    <mergeCell ref="B22:H22"/>
  </mergeCells>
  <conditionalFormatting sqref="I31:I33">
    <cfRule type="expression" dxfId="122" priority="1">
      <formula>#REF!</formula>
    </cfRule>
    <cfRule type="expression" dxfId="121" priority="2">
      <formula>#REF!</formula>
    </cfRule>
    <cfRule type="cellIs" dxfId="120" priority="3" operator="equal">
      <formula>#REF!</formula>
    </cfRule>
    <cfRule type="expression" dxfId="119" priority="7">
      <formula>#REF!</formula>
    </cfRule>
    <cfRule type="expression" dxfId="118" priority="16">
      <formula>#REF!</formula>
    </cfRule>
    <cfRule type="cellIs" dxfId="117" priority="17" operator="equal">
      <formula>#REF!</formula>
    </cfRule>
    <cfRule type="expression" dxfId="116" priority="18">
      <formula>#REF!</formula>
    </cfRule>
  </conditionalFormatting>
  <pageMargins left="0.7" right="0.7" top="0.75" bottom="0.75" header="0.3" footer="0.3"/>
  <pageSetup paperSize="9" orientation="portrait" horizontalDpi="0" verticalDpi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38D36-A04E-0B49-8440-D0D28B80E656}">
  <sheetPr codeName="Sheet7"/>
  <dimension ref="A1:BC80"/>
  <sheetViews>
    <sheetView showGridLines="0" tabSelected="1" zoomScale="90" zoomScaleNormal="90" workbookViewId="0">
      <pane xSplit="15" ySplit="10" topLeftCell="Q11" activePane="bottomRight" state="frozen"/>
      <selection activeCell="O27" sqref="O27"/>
      <selection pane="topRight" activeCell="O27" sqref="O27"/>
      <selection pane="bottomLeft" activeCell="O27" sqref="O27"/>
      <selection pane="bottomRight" activeCell="J35" sqref="J35"/>
    </sheetView>
  </sheetViews>
  <sheetFormatPr baseColWidth="10" defaultRowHeight="13" outlineLevelCol="1"/>
  <cols>
    <col min="1" max="1" width="18.5" style="3" bestFit="1" customWidth="1"/>
    <col min="2" max="2" width="13.6640625" style="3" customWidth="1"/>
    <col min="3" max="3" width="33.33203125" style="3" bestFit="1" customWidth="1"/>
    <col min="4" max="4" width="15.83203125" style="3" customWidth="1"/>
    <col min="5" max="5" width="24.83203125" style="3" bestFit="1" customWidth="1"/>
    <col min="6" max="6" width="12" style="3" customWidth="1" outlineLevel="1"/>
    <col min="7" max="8" width="10.83203125" style="3" customWidth="1" outlineLevel="1"/>
    <col min="9" max="9" width="13.6640625" style="3" customWidth="1" outlineLevel="1"/>
    <col min="10" max="10" width="19.6640625" style="3" bestFit="1" customWidth="1" outlineLevel="1"/>
    <col min="11" max="15" width="9.33203125" style="3" customWidth="1"/>
    <col min="16" max="16" width="3.5" style="3" customWidth="1"/>
    <col min="17" max="17" width="12.6640625" style="3" customWidth="1"/>
    <col min="18" max="39" width="10.83203125" style="3"/>
    <col min="40" max="44" width="10.83203125" style="3" customWidth="1"/>
    <col min="45" max="48" width="10.83203125" style="3" customWidth="1" outlineLevel="1"/>
    <col min="49" max="49" width="10.83203125" style="3" customWidth="1"/>
    <col min="50" max="54" width="10.83203125" style="3" hidden="1" customWidth="1" outlineLevel="1"/>
    <col min="55" max="55" width="10.83203125" style="3" collapsed="1"/>
    <col min="56" max="16384" width="10.83203125" style="3"/>
  </cols>
  <sheetData>
    <row r="1" spans="1:54">
      <c r="D1" s="24"/>
      <c r="AV1" s="3" t="s">
        <v>588</v>
      </c>
    </row>
    <row r="2" spans="1:54" ht="56">
      <c r="E2" s="7"/>
      <c r="F2" s="7"/>
      <c r="G2" s="7"/>
      <c r="H2" s="7"/>
      <c r="I2" s="7"/>
      <c r="J2" s="7"/>
      <c r="Q2" s="5" t="s">
        <v>22</v>
      </c>
      <c r="R2" s="5" t="s">
        <v>234</v>
      </c>
      <c r="S2" s="5" t="s">
        <v>235</v>
      </c>
      <c r="T2" s="5" t="s">
        <v>236</v>
      </c>
      <c r="U2" s="5" t="s">
        <v>237</v>
      </c>
      <c r="V2" s="5" t="s">
        <v>227</v>
      </c>
      <c r="X2" s="5" t="s">
        <v>22</v>
      </c>
      <c r="Y2" s="5" t="s">
        <v>242</v>
      </c>
      <c r="Z2" s="5" t="s">
        <v>243</v>
      </c>
      <c r="AA2" s="5" t="s">
        <v>244</v>
      </c>
      <c r="AB2" s="5" t="s">
        <v>245</v>
      </c>
      <c r="AC2" s="5" t="s">
        <v>246</v>
      </c>
      <c r="AG2" s="7"/>
    </row>
    <row r="3" spans="1:54">
      <c r="A3" s="58" t="s">
        <v>238</v>
      </c>
      <c r="Q3" s="1" t="s">
        <v>199</v>
      </c>
      <c r="R3" s="18">
        <f t="shared" ref="R3:U7" si="0">SUMIF($A$11:$A$80,$Q3,K$11:K$80)</f>
        <v>0</v>
      </c>
      <c r="S3" s="18">
        <f t="shared" si="0"/>
        <v>562</v>
      </c>
      <c r="T3" s="18">
        <f t="shared" si="0"/>
        <v>3489.7333333333331</v>
      </c>
      <c r="U3" s="18">
        <f t="shared" si="0"/>
        <v>25647.066666666666</v>
      </c>
      <c r="V3" s="18">
        <f t="shared" ref="V3:V5" si="1">SUM(R3:U3)</f>
        <v>29698.799999999999</v>
      </c>
      <c r="W3" s="7"/>
      <c r="X3" s="1" t="s">
        <v>199</v>
      </c>
      <c r="Y3" s="18">
        <f t="shared" ref="Y3:AB7" si="2">SUMIF($A$11:$A$80,$Q3,K$11:K$80)*7.5</f>
        <v>0</v>
      </c>
      <c r="Z3" s="18">
        <f t="shared" si="2"/>
        <v>4215</v>
      </c>
      <c r="AA3" s="18">
        <f t="shared" si="2"/>
        <v>26173</v>
      </c>
      <c r="AB3" s="18">
        <f t="shared" si="2"/>
        <v>192353</v>
      </c>
      <c r="AC3" s="18">
        <f t="shared" ref="AC3:AC7" si="3">SUM(Y3:AB3)</f>
        <v>222741</v>
      </c>
      <c r="AG3" s="7"/>
    </row>
    <row r="4" spans="1:54">
      <c r="A4" s="60" t="s">
        <v>239</v>
      </c>
      <c r="Q4" s="8" t="s">
        <v>425</v>
      </c>
      <c r="R4" s="18">
        <f t="shared" si="0"/>
        <v>1599.4666666666667</v>
      </c>
      <c r="S4" s="18">
        <f t="shared" si="0"/>
        <v>4555.6000000000004</v>
      </c>
      <c r="T4" s="18">
        <f t="shared" si="0"/>
        <v>5685.2</v>
      </c>
      <c r="U4" s="18">
        <f t="shared" si="0"/>
        <v>4092.8000000000006</v>
      </c>
      <c r="V4" s="18">
        <f>SUM(R4:U4)</f>
        <v>15933.066666666668</v>
      </c>
      <c r="W4" s="7"/>
      <c r="X4" s="8" t="s">
        <v>425</v>
      </c>
      <c r="Y4" s="18">
        <f t="shared" si="2"/>
        <v>11996</v>
      </c>
      <c r="Z4" s="18">
        <f t="shared" si="2"/>
        <v>34167</v>
      </c>
      <c r="AA4" s="18">
        <f t="shared" si="2"/>
        <v>42639</v>
      </c>
      <c r="AB4" s="18">
        <f t="shared" si="2"/>
        <v>30696.000000000004</v>
      </c>
      <c r="AC4" s="18">
        <f>SUM(Y4:AB4)</f>
        <v>119498</v>
      </c>
      <c r="AG4" s="7"/>
    </row>
    <row r="5" spans="1:54">
      <c r="A5" s="51" t="s">
        <v>255</v>
      </c>
      <c r="Q5" s="8" t="s">
        <v>424</v>
      </c>
      <c r="R5" s="18">
        <f t="shared" si="0"/>
        <v>502.93333333333334</v>
      </c>
      <c r="S5" s="18">
        <f t="shared" si="0"/>
        <v>962.13333333333333</v>
      </c>
      <c r="T5" s="18">
        <f t="shared" si="0"/>
        <v>1035.0666666666666</v>
      </c>
      <c r="U5" s="18">
        <f t="shared" si="0"/>
        <v>4061.3333333333339</v>
      </c>
      <c r="V5" s="18">
        <f t="shared" si="1"/>
        <v>6561.4666666666672</v>
      </c>
      <c r="W5" s="7"/>
      <c r="X5" s="8" t="s">
        <v>424</v>
      </c>
      <c r="Y5" s="18">
        <f t="shared" si="2"/>
        <v>3772</v>
      </c>
      <c r="Z5" s="18">
        <f t="shared" si="2"/>
        <v>7216</v>
      </c>
      <c r="AA5" s="18">
        <f t="shared" si="2"/>
        <v>7763</v>
      </c>
      <c r="AB5" s="18">
        <f t="shared" si="2"/>
        <v>30460.000000000004</v>
      </c>
      <c r="AC5" s="18">
        <f t="shared" si="3"/>
        <v>49211</v>
      </c>
    </row>
    <row r="6" spans="1:54">
      <c r="A6" s="57" t="s">
        <v>253</v>
      </c>
      <c r="Q6" s="8" t="s">
        <v>558</v>
      </c>
      <c r="R6" s="18">
        <f t="shared" si="0"/>
        <v>0</v>
      </c>
      <c r="S6" s="18">
        <f t="shared" si="0"/>
        <v>0</v>
      </c>
      <c r="T6" s="18">
        <f t="shared" si="0"/>
        <v>0</v>
      </c>
      <c r="U6" s="18">
        <f t="shared" si="0"/>
        <v>0</v>
      </c>
      <c r="V6" s="18">
        <f t="shared" ref="V6" si="4">SUM(R6:U6)</f>
        <v>0</v>
      </c>
      <c r="X6" s="8" t="s">
        <v>558</v>
      </c>
      <c r="Y6" s="18">
        <f t="shared" si="2"/>
        <v>0</v>
      </c>
      <c r="Z6" s="18">
        <f t="shared" si="2"/>
        <v>0</v>
      </c>
      <c r="AA6" s="18">
        <f t="shared" si="2"/>
        <v>0</v>
      </c>
      <c r="AB6" s="18">
        <f t="shared" si="2"/>
        <v>0</v>
      </c>
      <c r="AC6" s="18">
        <f t="shared" si="3"/>
        <v>0</v>
      </c>
    </row>
    <row r="7" spans="1:54">
      <c r="A7" s="114" t="s">
        <v>252</v>
      </c>
      <c r="Q7" s="8" t="s">
        <v>559</v>
      </c>
      <c r="R7" s="18">
        <f t="shared" si="0"/>
        <v>0</v>
      </c>
      <c r="S7" s="18">
        <f t="shared" si="0"/>
        <v>0</v>
      </c>
      <c r="T7" s="18">
        <f t="shared" si="0"/>
        <v>0</v>
      </c>
      <c r="U7" s="18">
        <f t="shared" si="0"/>
        <v>0</v>
      </c>
      <c r="V7" s="18">
        <f t="shared" ref="V7" si="5">SUM(R7:U7)</f>
        <v>0</v>
      </c>
      <c r="W7" s="7"/>
      <c r="X7" s="8" t="s">
        <v>559</v>
      </c>
      <c r="Y7" s="18">
        <f t="shared" si="2"/>
        <v>0</v>
      </c>
      <c r="Z7" s="18">
        <f t="shared" si="2"/>
        <v>0</v>
      </c>
      <c r="AA7" s="18">
        <f t="shared" si="2"/>
        <v>0</v>
      </c>
      <c r="AB7" s="18">
        <f t="shared" si="2"/>
        <v>0</v>
      </c>
      <c r="AC7" s="18">
        <f t="shared" si="3"/>
        <v>0</v>
      </c>
    </row>
    <row r="8" spans="1:54" ht="14">
      <c r="A8" s="59" t="s">
        <v>254</v>
      </c>
      <c r="Q8" s="157" t="s">
        <v>209</v>
      </c>
      <c r="R8" s="158">
        <f>SUM(R3:R7)</f>
        <v>2102.4</v>
      </c>
      <c r="S8" s="158">
        <f t="shared" ref="S8:U8" si="6">SUM(S3:S7)</f>
        <v>6079.7333333333336</v>
      </c>
      <c r="T8" s="158">
        <f t="shared" si="6"/>
        <v>10210</v>
      </c>
      <c r="U8" s="158">
        <f t="shared" si="6"/>
        <v>33801.199999999997</v>
      </c>
      <c r="V8" s="158">
        <f>SUM(R8:U8)</f>
        <v>52193.333333333328</v>
      </c>
      <c r="W8" s="7"/>
      <c r="X8" s="157" t="s">
        <v>209</v>
      </c>
      <c r="Y8" s="158">
        <f>SUM(Y3:Y7)</f>
        <v>15768</v>
      </c>
      <c r="Z8" s="158">
        <f t="shared" ref="Z8:AB8" si="7">SUM(Z3:Z7)</f>
        <v>45598</v>
      </c>
      <c r="AA8" s="158">
        <f t="shared" si="7"/>
        <v>76575</v>
      </c>
      <c r="AB8" s="158">
        <f t="shared" si="7"/>
        <v>253509</v>
      </c>
      <c r="AC8" s="158">
        <f>SUM(Y8:AB8)</f>
        <v>391450</v>
      </c>
    </row>
    <row r="9" spans="1:54" ht="14" thickBot="1"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P9" s="6"/>
    </row>
    <row r="10" spans="1:54" ht="57" thickBot="1">
      <c r="A10" s="159" t="s">
        <v>163</v>
      </c>
      <c r="B10" s="118" t="s">
        <v>8</v>
      </c>
      <c r="C10" s="118" t="s">
        <v>240</v>
      </c>
      <c r="D10" s="118" t="s">
        <v>0</v>
      </c>
      <c r="E10" s="5" t="s">
        <v>1</v>
      </c>
      <c r="F10" s="298" t="s">
        <v>278</v>
      </c>
      <c r="G10" s="298" t="s">
        <v>10</v>
      </c>
      <c r="H10" s="5" t="s">
        <v>607</v>
      </c>
      <c r="I10" s="5" t="s">
        <v>608</v>
      </c>
      <c r="J10" s="5" t="s">
        <v>609</v>
      </c>
      <c r="K10" s="289" t="s">
        <v>226</v>
      </c>
      <c r="L10" s="118" t="s">
        <v>164</v>
      </c>
      <c r="M10" s="118" t="s">
        <v>165</v>
      </c>
      <c r="N10" s="160" t="s">
        <v>166</v>
      </c>
      <c r="O10" s="268" t="s">
        <v>378</v>
      </c>
      <c r="P10" s="179"/>
      <c r="Q10" s="159" t="s">
        <v>226</v>
      </c>
      <c r="R10" s="118" t="s">
        <v>167</v>
      </c>
      <c r="S10" s="118" t="s">
        <v>168</v>
      </c>
      <c r="T10" s="118" t="s">
        <v>592</v>
      </c>
      <c r="U10" s="118" t="s">
        <v>606</v>
      </c>
      <c r="V10" s="118" t="s">
        <v>169</v>
      </c>
      <c r="W10" s="118" t="s">
        <v>170</v>
      </c>
      <c r="X10" s="118" t="s">
        <v>171</v>
      </c>
      <c r="Y10" s="118" t="s">
        <v>172</v>
      </c>
      <c r="Z10" s="118" t="s">
        <v>604</v>
      </c>
      <c r="AA10" s="118" t="s">
        <v>605</v>
      </c>
      <c r="AB10" s="118" t="s">
        <v>174</v>
      </c>
      <c r="AC10" s="118" t="s">
        <v>579</v>
      </c>
      <c r="AD10" s="118" t="s">
        <v>173</v>
      </c>
      <c r="AE10" s="118" t="s">
        <v>361</v>
      </c>
      <c r="AF10" s="118" t="s">
        <v>362</v>
      </c>
      <c r="AG10" s="118" t="s">
        <v>175</v>
      </c>
      <c r="AH10" s="118" t="s">
        <v>176</v>
      </c>
      <c r="AI10" s="118" t="s">
        <v>177</v>
      </c>
      <c r="AJ10" s="118" t="s">
        <v>603</v>
      </c>
      <c r="AK10" s="128" t="s">
        <v>178</v>
      </c>
      <c r="AL10" s="129" t="s">
        <v>411</v>
      </c>
      <c r="AM10" s="129" t="s">
        <v>381</v>
      </c>
      <c r="AN10" s="129" t="s">
        <v>380</v>
      </c>
      <c r="AS10" s="192" t="s">
        <v>226</v>
      </c>
      <c r="AT10" s="193" t="s">
        <v>164</v>
      </c>
      <c r="AU10" s="193" t="s">
        <v>165</v>
      </c>
      <c r="AV10" s="194" t="s">
        <v>166</v>
      </c>
    </row>
    <row r="11" spans="1:54">
      <c r="A11" s="122" t="s">
        <v>199</v>
      </c>
      <c r="B11" s="123" t="s">
        <v>194</v>
      </c>
      <c r="C11" s="123" t="str">
        <f t="shared" ref="C11:C54" si="8">A11&amp;D11</f>
        <v>Brazil_P2kh.br.sa.bra.08_A</v>
      </c>
      <c r="D11" s="123" t="s">
        <v>38</v>
      </c>
      <c r="E11" s="8" t="s">
        <v>195</v>
      </c>
      <c r="F11" s="20">
        <v>46022</v>
      </c>
      <c r="G11" s="20">
        <v>46193</v>
      </c>
      <c r="H11" s="8" t="s">
        <v>166</v>
      </c>
      <c r="I11" s="8" t="s">
        <v>238</v>
      </c>
      <c r="J11" s="8" t="s">
        <v>411</v>
      </c>
      <c r="K11" s="290"/>
      <c r="L11" s="51"/>
      <c r="M11" s="51"/>
      <c r="N11" s="300">
        <f t="shared" ref="N11:N18" si="9">(SUM(Z11:AL11)/7.5)</f>
        <v>10</v>
      </c>
      <c r="O11" s="238"/>
      <c r="P11" s="239"/>
      <c r="Q11" s="61"/>
      <c r="R11" s="51"/>
      <c r="S11" s="51"/>
      <c r="T11" s="240"/>
      <c r="U11" s="240"/>
      <c r="V11" s="240"/>
      <c r="W11" s="240"/>
      <c r="X11" s="240"/>
      <c r="Y11" s="240"/>
      <c r="Z11" s="240"/>
      <c r="AA11" s="240"/>
      <c r="AB11" s="240"/>
      <c r="AC11" s="240"/>
      <c r="AD11" s="240"/>
      <c r="AE11" s="240"/>
      <c r="AF11" s="240"/>
      <c r="AG11" s="240"/>
      <c r="AH11" s="240"/>
      <c r="AI11" s="240"/>
      <c r="AJ11" s="240"/>
      <c r="AK11" s="305"/>
      <c r="AL11" s="288">
        <v>75</v>
      </c>
      <c r="AM11" s="132"/>
      <c r="AN11" s="132"/>
      <c r="AS11" s="1">
        <f>K11*7.5</f>
        <v>0</v>
      </c>
      <c r="AT11" s="1">
        <f>L11*7.5</f>
        <v>0</v>
      </c>
      <c r="AU11" s="1">
        <f>M11*7.5</f>
        <v>0</v>
      </c>
      <c r="AV11" s="1">
        <f>N11*7.5</f>
        <v>75</v>
      </c>
      <c r="AX11" s="316">
        <f>AL11</f>
        <v>75</v>
      </c>
      <c r="AY11" s="144">
        <v>0</v>
      </c>
      <c r="AZ11" s="144" t="str">
        <f>E11</f>
        <v>São Paulo</v>
      </c>
      <c r="BA11" s="144">
        <f>AX11/7.5*0.9</f>
        <v>9</v>
      </c>
      <c r="BB11" s="144">
        <f>AY11/7.5*0.8</f>
        <v>0</v>
      </c>
    </row>
    <row r="12" spans="1:54">
      <c r="A12" s="14" t="s">
        <v>199</v>
      </c>
      <c r="B12" s="8" t="s">
        <v>194</v>
      </c>
      <c r="C12" s="8" t="str">
        <f t="shared" si="8"/>
        <v>Brazil_P2kh.br.sa.bra.08_C</v>
      </c>
      <c r="D12" s="8" t="s">
        <v>40</v>
      </c>
      <c r="E12" s="8" t="s">
        <v>196</v>
      </c>
      <c r="F12" s="20">
        <v>46029</v>
      </c>
      <c r="G12" s="20">
        <v>46243</v>
      </c>
      <c r="H12" s="8" t="s">
        <v>166</v>
      </c>
      <c r="I12" s="8" t="s">
        <v>238</v>
      </c>
      <c r="J12" s="8" t="s">
        <v>605</v>
      </c>
      <c r="K12" s="290"/>
      <c r="L12" s="51"/>
      <c r="M12" s="51"/>
      <c r="N12" s="300">
        <f t="shared" si="9"/>
        <v>1181.8666666666666</v>
      </c>
      <c r="O12" s="183"/>
      <c r="P12" s="119"/>
      <c r="Q12" s="61"/>
      <c r="R12" s="51"/>
      <c r="S12" s="51"/>
      <c r="T12" s="51"/>
      <c r="U12" s="51"/>
      <c r="V12" s="51"/>
      <c r="W12" s="51"/>
      <c r="X12" s="51"/>
      <c r="Y12" s="51"/>
      <c r="Z12" s="240"/>
      <c r="AA12" s="264">
        <v>1936</v>
      </c>
      <c r="AB12" s="2">
        <v>1590</v>
      </c>
      <c r="AC12" s="240"/>
      <c r="AD12" s="286"/>
      <c r="AE12" s="286"/>
      <c r="AF12" s="1">
        <v>8</v>
      </c>
      <c r="AG12" s="1">
        <v>150</v>
      </c>
      <c r="AH12" s="1">
        <v>204</v>
      </c>
      <c r="AI12" s="1">
        <v>120</v>
      </c>
      <c r="AJ12" s="1">
        <v>3702</v>
      </c>
      <c r="AK12" s="200">
        <v>229</v>
      </c>
      <c r="AL12" s="130">
        <v>925</v>
      </c>
      <c r="AM12" s="130"/>
      <c r="AN12" s="130"/>
      <c r="AS12" s="1">
        <f t="shared" ref="AS12:AS67" si="10">K12*7.5</f>
        <v>0</v>
      </c>
      <c r="AT12" s="1">
        <f t="shared" ref="AT12:AT67" si="11">L12*7.5</f>
        <v>0</v>
      </c>
      <c r="AU12" s="1">
        <f t="shared" ref="AU12:AU67" si="12">M12*7.5</f>
        <v>0</v>
      </c>
      <c r="AV12" s="1">
        <f t="shared" ref="AV12:AV67" si="13">N12*7.5</f>
        <v>8864</v>
      </c>
      <c r="AX12" s="316">
        <f>AA12</f>
        <v>1936</v>
      </c>
      <c r="AY12" s="316">
        <f>SUM(AB12:AL12)</f>
        <v>6928</v>
      </c>
      <c r="AZ12" s="144" t="str">
        <f t="shared" ref="AZ12:AZ17" si="14">E12</f>
        <v>Campinas</v>
      </c>
      <c r="BA12" s="316">
        <f t="shared" ref="BA12:BA17" si="15">AX12/7.5*0.9</f>
        <v>232.32</v>
      </c>
      <c r="BB12" s="316">
        <f t="shared" ref="BB12:BB17" si="16">AY12/7.5*0.8</f>
        <v>738.98666666666668</v>
      </c>
    </row>
    <row r="13" spans="1:54">
      <c r="A13" s="14" t="s">
        <v>199</v>
      </c>
      <c r="B13" s="8" t="s">
        <v>194</v>
      </c>
      <c r="C13" s="8" t="str">
        <f t="shared" si="8"/>
        <v>Brazil_P2kh.br.sa.bra.08_D</v>
      </c>
      <c r="D13" s="8" t="s">
        <v>41</v>
      </c>
      <c r="E13" s="8" t="s">
        <v>198</v>
      </c>
      <c r="F13" s="20">
        <v>46041</v>
      </c>
      <c r="G13" s="20">
        <v>46271</v>
      </c>
      <c r="H13" s="8" t="s">
        <v>166</v>
      </c>
      <c r="I13" s="8" t="s">
        <v>239</v>
      </c>
      <c r="J13" s="8" t="s">
        <v>579</v>
      </c>
      <c r="K13" s="290"/>
      <c r="L13" s="51"/>
      <c r="M13" s="51"/>
      <c r="N13" s="300">
        <f t="shared" si="9"/>
        <v>1890.8</v>
      </c>
      <c r="O13" s="183"/>
      <c r="P13" s="119"/>
      <c r="Q13" s="61"/>
      <c r="R13" s="51"/>
      <c r="S13" s="51"/>
      <c r="T13" s="51"/>
      <c r="U13" s="51"/>
      <c r="V13" s="51"/>
      <c r="W13" s="51"/>
      <c r="X13" s="51"/>
      <c r="Y13" s="51"/>
      <c r="Z13" s="2">
        <v>6</v>
      </c>
      <c r="AA13" s="2">
        <v>6872</v>
      </c>
      <c r="AB13" s="2">
        <v>1832</v>
      </c>
      <c r="AC13" s="304">
        <v>361</v>
      </c>
      <c r="AD13" s="286"/>
      <c r="AE13" s="286"/>
      <c r="AF13" s="1">
        <v>8</v>
      </c>
      <c r="AG13" s="1">
        <v>173</v>
      </c>
      <c r="AH13" s="1">
        <v>209</v>
      </c>
      <c r="AI13" s="1">
        <v>138</v>
      </c>
      <c r="AJ13" s="1">
        <v>3481</v>
      </c>
      <c r="AK13" s="200">
        <v>231</v>
      </c>
      <c r="AL13" s="130">
        <v>870</v>
      </c>
      <c r="AM13" s="130"/>
      <c r="AN13" s="130"/>
      <c r="AS13" s="1">
        <f t="shared" si="10"/>
        <v>0</v>
      </c>
      <c r="AT13" s="1">
        <f t="shared" si="11"/>
        <v>0</v>
      </c>
      <c r="AU13" s="1">
        <f t="shared" si="12"/>
        <v>0</v>
      </c>
      <c r="AV13" s="1">
        <f t="shared" si="13"/>
        <v>14181</v>
      </c>
      <c r="AX13" s="316">
        <f>AC13</f>
        <v>361</v>
      </c>
      <c r="AY13" s="316">
        <f>SUM(AF13:AL13,Z13:AB13)</f>
        <v>13820</v>
      </c>
      <c r="AZ13" s="144" t="str">
        <f t="shared" si="14"/>
        <v>Ribeirão Preto</v>
      </c>
      <c r="BA13" s="316">
        <f t="shared" si="15"/>
        <v>43.32</v>
      </c>
      <c r="BB13" s="316">
        <f t="shared" si="16"/>
        <v>1474.1333333333334</v>
      </c>
    </row>
    <row r="14" spans="1:54">
      <c r="A14" s="14" t="s">
        <v>199</v>
      </c>
      <c r="B14" s="8" t="s">
        <v>194</v>
      </c>
      <c r="C14" s="8" t="str">
        <f t="shared" si="8"/>
        <v>Brazil_P2kh.br.sa.bra.08_B</v>
      </c>
      <c r="D14" s="8" t="s">
        <v>39</v>
      </c>
      <c r="E14" s="8" t="s">
        <v>197</v>
      </c>
      <c r="F14" s="20">
        <v>46049</v>
      </c>
      <c r="G14" s="198">
        <v>46283</v>
      </c>
      <c r="H14" s="8" t="s">
        <v>166</v>
      </c>
      <c r="I14" s="8" t="s">
        <v>239</v>
      </c>
      <c r="J14" s="8" t="s">
        <v>579</v>
      </c>
      <c r="K14" s="290"/>
      <c r="L14" s="51"/>
      <c r="M14" s="51"/>
      <c r="N14" s="15">
        <f t="shared" si="9"/>
        <v>1996.9333333333334</v>
      </c>
      <c r="O14" s="183"/>
      <c r="P14" s="119"/>
      <c r="Q14" s="61"/>
      <c r="R14" s="51"/>
      <c r="S14" s="51"/>
      <c r="T14" s="51"/>
      <c r="U14" s="51"/>
      <c r="V14" s="51"/>
      <c r="W14" s="51"/>
      <c r="X14" s="51"/>
      <c r="Y14" s="51"/>
      <c r="Z14" s="1">
        <v>22</v>
      </c>
      <c r="AA14" s="1">
        <v>6234</v>
      </c>
      <c r="AB14" s="2">
        <v>1776</v>
      </c>
      <c r="AC14" s="306">
        <v>482</v>
      </c>
      <c r="AD14" s="286"/>
      <c r="AE14" s="286"/>
      <c r="AF14" s="1">
        <v>9</v>
      </c>
      <c r="AG14" s="1">
        <v>167</v>
      </c>
      <c r="AH14" s="1">
        <v>227</v>
      </c>
      <c r="AI14" s="1">
        <v>134</v>
      </c>
      <c r="AJ14" s="1">
        <v>4537</v>
      </c>
      <c r="AK14" s="200">
        <v>255</v>
      </c>
      <c r="AL14" s="130">
        <v>1134</v>
      </c>
      <c r="AM14" s="130"/>
      <c r="AN14" s="130"/>
      <c r="AS14" s="1">
        <f t="shared" si="10"/>
        <v>0</v>
      </c>
      <c r="AT14" s="1">
        <f t="shared" si="11"/>
        <v>0</v>
      </c>
      <c r="AU14" s="1">
        <f t="shared" si="12"/>
        <v>0</v>
      </c>
      <c r="AV14" s="1">
        <f t="shared" si="13"/>
        <v>14977</v>
      </c>
      <c r="AX14" s="316">
        <f>AC14</f>
        <v>482</v>
      </c>
      <c r="AY14" s="316">
        <f>SUM(AF14:AL14,Z14:AB14)</f>
        <v>14495</v>
      </c>
      <c r="AZ14" s="144" t="str">
        <f t="shared" si="14"/>
        <v>São José dos Campos</v>
      </c>
      <c r="BA14" s="316">
        <f t="shared" si="15"/>
        <v>57.84</v>
      </c>
      <c r="BB14" s="316">
        <f t="shared" si="16"/>
        <v>1546.1333333333334</v>
      </c>
    </row>
    <row r="15" spans="1:54">
      <c r="A15" s="14" t="s">
        <v>199</v>
      </c>
      <c r="B15" s="8" t="s">
        <v>190</v>
      </c>
      <c r="C15" s="8" t="str">
        <f t="shared" si="8"/>
        <v>Brazil_P2kh.br.sa.bra.11_A</v>
      </c>
      <c r="D15" s="8" t="s">
        <v>46</v>
      </c>
      <c r="E15" s="8" t="s">
        <v>191</v>
      </c>
      <c r="F15" s="20">
        <v>46051</v>
      </c>
      <c r="G15" s="20">
        <v>46210</v>
      </c>
      <c r="H15" s="8" t="s">
        <v>166</v>
      </c>
      <c r="I15" s="8" t="s">
        <v>238</v>
      </c>
      <c r="J15" s="8" t="s">
        <v>603</v>
      </c>
      <c r="K15" s="290"/>
      <c r="L15" s="51"/>
      <c r="M15" s="51"/>
      <c r="N15" s="300">
        <f t="shared" si="9"/>
        <v>479.06666666666666</v>
      </c>
      <c r="O15" s="183"/>
      <c r="P15" s="121"/>
      <c r="Q15" s="61"/>
      <c r="R15" s="51"/>
      <c r="S15" s="51"/>
      <c r="T15" s="51"/>
      <c r="U15" s="51"/>
      <c r="V15" s="51"/>
      <c r="W15" s="51"/>
      <c r="X15" s="51"/>
      <c r="Y15" s="51"/>
      <c r="Z15" s="51"/>
      <c r="AA15" s="51"/>
      <c r="AB15" s="51"/>
      <c r="AC15" s="51"/>
      <c r="AD15" s="51"/>
      <c r="AE15" s="51"/>
      <c r="AF15" s="51"/>
      <c r="AG15" s="51"/>
      <c r="AH15" s="51"/>
      <c r="AI15" s="1">
        <v>80</v>
      </c>
      <c r="AJ15" s="317">
        <v>2713</v>
      </c>
      <c r="AK15" s="200">
        <v>122</v>
      </c>
      <c r="AL15" s="130">
        <v>678</v>
      </c>
      <c r="AM15" s="130"/>
      <c r="AN15" s="130"/>
      <c r="AS15" s="1">
        <f t="shared" si="10"/>
        <v>0</v>
      </c>
      <c r="AT15" s="1">
        <f t="shared" si="11"/>
        <v>0</v>
      </c>
      <c r="AU15" s="1">
        <f t="shared" si="12"/>
        <v>0</v>
      </c>
      <c r="AV15" s="1">
        <f t="shared" si="13"/>
        <v>3593</v>
      </c>
      <c r="AX15" s="316">
        <f>AG15</f>
        <v>0</v>
      </c>
      <c r="AY15" s="316">
        <f>SUM(AH15:AL15)</f>
        <v>3593</v>
      </c>
      <c r="AZ15" s="144" t="str">
        <f t="shared" si="14"/>
        <v>Rio de Janeiro</v>
      </c>
      <c r="BA15" s="316">
        <f t="shared" si="15"/>
        <v>0</v>
      </c>
      <c r="BB15" s="316">
        <f t="shared" si="16"/>
        <v>383.25333333333333</v>
      </c>
    </row>
    <row r="16" spans="1:54">
      <c r="A16" s="14" t="s">
        <v>199</v>
      </c>
      <c r="B16" s="8" t="s">
        <v>190</v>
      </c>
      <c r="C16" s="8" t="str">
        <f t="shared" si="8"/>
        <v>Brazil_P2kh.br.sa.bra.11_B</v>
      </c>
      <c r="D16" s="8" t="s">
        <v>47</v>
      </c>
      <c r="E16" s="8" t="s">
        <v>192</v>
      </c>
      <c r="F16" s="20">
        <v>46053</v>
      </c>
      <c r="G16" s="20">
        <v>46215</v>
      </c>
      <c r="H16" s="8" t="s">
        <v>166</v>
      </c>
      <c r="I16" s="8" t="s">
        <v>238</v>
      </c>
      <c r="J16" s="8" t="s">
        <v>605</v>
      </c>
      <c r="K16" s="290"/>
      <c r="L16" s="51"/>
      <c r="M16" s="51"/>
      <c r="N16" s="300">
        <f t="shared" si="9"/>
        <v>1110.5333333333333</v>
      </c>
      <c r="O16" s="183"/>
      <c r="P16" s="121"/>
      <c r="Q16" s="61"/>
      <c r="R16" s="51"/>
      <c r="S16" s="51"/>
      <c r="T16" s="51"/>
      <c r="U16" s="51"/>
      <c r="V16" s="51"/>
      <c r="W16" s="51"/>
      <c r="X16" s="51"/>
      <c r="Y16" s="51"/>
      <c r="Z16" s="51"/>
      <c r="AA16" s="264">
        <v>2560</v>
      </c>
      <c r="AB16" s="2">
        <v>1253</v>
      </c>
      <c r="AC16" s="51"/>
      <c r="AD16" s="286"/>
      <c r="AE16" s="286"/>
      <c r="AF16" s="1">
        <v>5</v>
      </c>
      <c r="AG16" s="1">
        <v>118</v>
      </c>
      <c r="AH16" s="1">
        <v>141</v>
      </c>
      <c r="AI16" s="1">
        <v>95</v>
      </c>
      <c r="AJ16" s="1">
        <v>3201</v>
      </c>
      <c r="AK16" s="200">
        <v>156</v>
      </c>
      <c r="AL16" s="130">
        <v>800</v>
      </c>
      <c r="AM16" s="130"/>
      <c r="AN16" s="130"/>
      <c r="AS16" s="1">
        <f t="shared" si="10"/>
        <v>0</v>
      </c>
      <c r="AT16" s="1">
        <f t="shared" si="11"/>
        <v>0</v>
      </c>
      <c r="AU16" s="1">
        <f t="shared" si="12"/>
        <v>0</v>
      </c>
      <c r="AV16" s="1">
        <f t="shared" si="13"/>
        <v>8329</v>
      </c>
      <c r="AX16" s="316">
        <f>AA16</f>
        <v>2560</v>
      </c>
      <c r="AY16" s="316">
        <f>SUM(AB16:AL16)</f>
        <v>5769</v>
      </c>
      <c r="AZ16" s="144" t="str">
        <f t="shared" si="14"/>
        <v>Campos dos Goytacazes</v>
      </c>
      <c r="BA16" s="316">
        <f t="shared" si="15"/>
        <v>307.2</v>
      </c>
      <c r="BB16" s="316">
        <f t="shared" si="16"/>
        <v>615.36000000000013</v>
      </c>
    </row>
    <row r="17" spans="1:54">
      <c r="A17" s="14" t="s">
        <v>199</v>
      </c>
      <c r="B17" s="8" t="s">
        <v>190</v>
      </c>
      <c r="C17" s="8" t="str">
        <f t="shared" si="8"/>
        <v>Brazil_P2kh.br.sa.bra.11_C</v>
      </c>
      <c r="D17" s="8" t="s">
        <v>48</v>
      </c>
      <c r="E17" s="8" t="s">
        <v>193</v>
      </c>
      <c r="F17" s="20">
        <v>46059</v>
      </c>
      <c r="G17" s="20">
        <v>46224</v>
      </c>
      <c r="H17" s="8" t="s">
        <v>166</v>
      </c>
      <c r="I17" s="8" t="s">
        <v>238</v>
      </c>
      <c r="J17" s="8" t="s">
        <v>605</v>
      </c>
      <c r="K17" s="290"/>
      <c r="L17" s="51"/>
      <c r="M17" s="51"/>
      <c r="N17" s="300">
        <f t="shared" si="9"/>
        <v>575.20000000000005</v>
      </c>
      <c r="O17" s="183"/>
      <c r="P17" s="121"/>
      <c r="Q17" s="61"/>
      <c r="R17" s="51"/>
      <c r="S17" s="51"/>
      <c r="T17" s="51"/>
      <c r="U17" s="51"/>
      <c r="V17" s="51"/>
      <c r="W17" s="51"/>
      <c r="X17" s="51"/>
      <c r="Y17" s="51"/>
      <c r="Z17" s="51"/>
      <c r="AA17" s="264">
        <v>1498</v>
      </c>
      <c r="AB17" s="2">
        <v>609</v>
      </c>
      <c r="AC17" s="51"/>
      <c r="AD17" s="286"/>
      <c r="AE17" s="286"/>
      <c r="AF17" s="1">
        <v>3</v>
      </c>
      <c r="AG17" s="1">
        <v>57</v>
      </c>
      <c r="AH17" s="1">
        <v>74</v>
      </c>
      <c r="AI17" s="1">
        <v>46</v>
      </c>
      <c r="AJ17" s="1">
        <v>1555</v>
      </c>
      <c r="AK17" s="200">
        <v>83</v>
      </c>
      <c r="AL17" s="130">
        <v>389</v>
      </c>
      <c r="AM17" s="130"/>
      <c r="AN17" s="130"/>
      <c r="AS17" s="1">
        <f t="shared" si="10"/>
        <v>0</v>
      </c>
      <c r="AT17" s="1">
        <f t="shared" si="11"/>
        <v>0</v>
      </c>
      <c r="AU17" s="1">
        <f t="shared" si="12"/>
        <v>0</v>
      </c>
      <c r="AV17" s="1">
        <f t="shared" si="13"/>
        <v>4314</v>
      </c>
      <c r="AX17" s="316">
        <f>AA17</f>
        <v>1498</v>
      </c>
      <c r="AY17" s="316">
        <f>SUM(AB17:AL17)</f>
        <v>2816</v>
      </c>
      <c r="AZ17" s="144" t="str">
        <f t="shared" si="14"/>
        <v>Vitória</v>
      </c>
      <c r="BA17" s="316">
        <f t="shared" si="15"/>
        <v>179.76</v>
      </c>
      <c r="BB17" s="316">
        <f t="shared" si="16"/>
        <v>300.37333333333333</v>
      </c>
    </row>
    <row r="18" spans="1:54">
      <c r="A18" s="14" t="s">
        <v>199</v>
      </c>
      <c r="B18" s="8" t="s">
        <v>184</v>
      </c>
      <c r="C18" s="8" t="str">
        <f t="shared" si="8"/>
        <v>Brazil_P2kh.br.sa.bra.16</v>
      </c>
      <c r="D18" s="8" t="s">
        <v>57</v>
      </c>
      <c r="E18" s="296" t="s">
        <v>58</v>
      </c>
      <c r="F18" s="20">
        <v>46075</v>
      </c>
      <c r="G18" s="198">
        <v>46299</v>
      </c>
      <c r="H18" s="8" t="s">
        <v>166</v>
      </c>
      <c r="I18" s="8" t="s">
        <v>254</v>
      </c>
      <c r="J18" s="8" t="s">
        <v>7</v>
      </c>
      <c r="K18" s="290"/>
      <c r="L18" s="51"/>
      <c r="M18" s="51"/>
      <c r="N18" s="15">
        <f t="shared" si="9"/>
        <v>1507.0666666666666</v>
      </c>
      <c r="O18" s="183"/>
      <c r="P18" s="121"/>
      <c r="Q18" s="61"/>
      <c r="R18" s="51"/>
      <c r="S18" s="51"/>
      <c r="T18" s="51"/>
      <c r="U18" s="51"/>
      <c r="V18" s="51"/>
      <c r="W18" s="51"/>
      <c r="X18" s="51"/>
      <c r="Y18" s="51"/>
      <c r="Z18" s="2">
        <v>15</v>
      </c>
      <c r="AA18" s="2">
        <v>4337</v>
      </c>
      <c r="AB18" s="2">
        <v>1236</v>
      </c>
      <c r="AC18" s="2">
        <v>335</v>
      </c>
      <c r="AD18" s="286"/>
      <c r="AE18" s="286"/>
      <c r="AF18" s="2">
        <v>3</v>
      </c>
      <c r="AG18" s="2">
        <v>116</v>
      </c>
      <c r="AH18" s="2">
        <v>261</v>
      </c>
      <c r="AI18" s="2">
        <v>93</v>
      </c>
      <c r="AJ18" s="2">
        <v>3157</v>
      </c>
      <c r="AK18" s="201">
        <v>961</v>
      </c>
      <c r="AL18" s="130">
        <v>789</v>
      </c>
      <c r="AM18" s="130"/>
      <c r="AN18" s="130"/>
      <c r="AS18" s="1">
        <f t="shared" si="10"/>
        <v>0</v>
      </c>
      <c r="AT18" s="1">
        <f t="shared" si="11"/>
        <v>0</v>
      </c>
      <c r="AU18" s="1">
        <f t="shared" si="12"/>
        <v>0</v>
      </c>
      <c r="AV18" s="1">
        <f t="shared" si="13"/>
        <v>11303</v>
      </c>
      <c r="AX18" s="144"/>
      <c r="AY18" s="144"/>
      <c r="AZ18" s="144"/>
      <c r="BA18" s="144"/>
      <c r="BB18" s="144"/>
    </row>
    <row r="19" spans="1:54">
      <c r="A19" s="14" t="s">
        <v>199</v>
      </c>
      <c r="B19" s="8" t="s">
        <v>184</v>
      </c>
      <c r="C19" s="8" t="str">
        <f t="shared" si="8"/>
        <v>Brazil_P2kh.br.sa.bra.17</v>
      </c>
      <c r="D19" s="8" t="s">
        <v>59</v>
      </c>
      <c r="E19" s="297" t="s">
        <v>60</v>
      </c>
      <c r="F19" s="20">
        <v>46091</v>
      </c>
      <c r="G19" s="19">
        <v>46307</v>
      </c>
      <c r="H19" s="8" t="s">
        <v>166</v>
      </c>
      <c r="I19" s="8" t="s">
        <v>254</v>
      </c>
      <c r="J19" s="8" t="s">
        <v>7</v>
      </c>
      <c r="K19" s="290"/>
      <c r="L19" s="51"/>
      <c r="M19" s="51"/>
      <c r="N19" s="205">
        <f>(SUM(AC19:AL19)/7.5)</f>
        <v>1014.4</v>
      </c>
      <c r="O19" s="183"/>
      <c r="P19" s="121"/>
      <c r="Q19" s="61"/>
      <c r="R19" s="51"/>
      <c r="S19" s="51"/>
      <c r="T19" s="51"/>
      <c r="U19" s="51"/>
      <c r="V19" s="51"/>
      <c r="W19" s="51"/>
      <c r="X19" s="51"/>
      <c r="Y19" s="51"/>
      <c r="Z19" s="51"/>
      <c r="AA19" s="51"/>
      <c r="AB19" s="51"/>
      <c r="AC19" s="2">
        <v>444</v>
      </c>
      <c r="AD19" s="2">
        <v>969</v>
      </c>
      <c r="AE19" s="2">
        <v>270</v>
      </c>
      <c r="AF19" s="2">
        <v>7</v>
      </c>
      <c r="AG19" s="2">
        <v>154</v>
      </c>
      <c r="AH19" s="2">
        <v>197</v>
      </c>
      <c r="AI19" s="2">
        <v>123</v>
      </c>
      <c r="AJ19" s="2">
        <v>4179</v>
      </c>
      <c r="AK19" s="201">
        <v>220</v>
      </c>
      <c r="AL19" s="130">
        <v>1045</v>
      </c>
      <c r="AM19" s="130"/>
      <c r="AN19" s="130"/>
      <c r="AS19" s="1">
        <f t="shared" si="10"/>
        <v>0</v>
      </c>
      <c r="AT19" s="1">
        <f t="shared" si="11"/>
        <v>0</v>
      </c>
      <c r="AU19" s="1">
        <f t="shared" si="12"/>
        <v>0</v>
      </c>
      <c r="AV19" s="1">
        <f t="shared" si="13"/>
        <v>7608</v>
      </c>
      <c r="AX19" s="144"/>
      <c r="AY19" s="144"/>
      <c r="AZ19" s="144"/>
      <c r="BA19" s="144"/>
      <c r="BB19" s="144"/>
    </row>
    <row r="20" spans="1:54">
      <c r="A20" s="14" t="s">
        <v>199</v>
      </c>
      <c r="B20" s="8" t="s">
        <v>184</v>
      </c>
      <c r="C20" s="8" t="str">
        <f t="shared" si="8"/>
        <v>Brazil_P2kh.br.sa.bra.18</v>
      </c>
      <c r="D20" s="8" t="s">
        <v>61</v>
      </c>
      <c r="E20" s="297" t="s">
        <v>62</v>
      </c>
      <c r="F20" s="20">
        <v>46114</v>
      </c>
      <c r="G20" s="19">
        <v>46316</v>
      </c>
      <c r="H20" s="8" t="s">
        <v>166</v>
      </c>
      <c r="I20" s="8" t="s">
        <v>254</v>
      </c>
      <c r="J20" s="8" t="s">
        <v>7</v>
      </c>
      <c r="K20" s="290"/>
      <c r="L20" s="51"/>
      <c r="M20" s="51"/>
      <c r="N20" s="205">
        <f>(SUM(AC20:AL20)/7.5)</f>
        <v>568.4</v>
      </c>
      <c r="O20" s="183"/>
      <c r="P20" s="121"/>
      <c r="Q20" s="61"/>
      <c r="R20" s="51"/>
      <c r="S20" s="51"/>
      <c r="T20" s="51"/>
      <c r="U20" s="51"/>
      <c r="V20" s="51"/>
      <c r="W20" s="51"/>
      <c r="X20" s="51"/>
      <c r="Y20" s="51"/>
      <c r="Z20" s="51"/>
      <c r="AA20" s="51"/>
      <c r="AB20" s="51"/>
      <c r="AC20" s="2">
        <v>250</v>
      </c>
      <c r="AD20" s="2">
        <v>273</v>
      </c>
      <c r="AE20" s="2">
        <v>152</v>
      </c>
      <c r="AF20" s="2">
        <v>5</v>
      </c>
      <c r="AG20" s="2">
        <v>87</v>
      </c>
      <c r="AH20" s="2">
        <v>157</v>
      </c>
      <c r="AI20" s="2">
        <v>69</v>
      </c>
      <c r="AJ20" s="2">
        <v>2349</v>
      </c>
      <c r="AK20" s="201">
        <v>334</v>
      </c>
      <c r="AL20" s="130">
        <v>587</v>
      </c>
      <c r="AM20" s="130"/>
      <c r="AN20" s="130"/>
      <c r="AS20" s="1">
        <f t="shared" si="10"/>
        <v>0</v>
      </c>
      <c r="AT20" s="1">
        <f t="shared" si="11"/>
        <v>0</v>
      </c>
      <c r="AU20" s="1">
        <f t="shared" si="12"/>
        <v>0</v>
      </c>
      <c r="AV20" s="1">
        <f t="shared" si="13"/>
        <v>4263</v>
      </c>
      <c r="AX20" s="144"/>
      <c r="AY20" s="144"/>
      <c r="AZ20" s="144"/>
      <c r="BA20" s="144"/>
      <c r="BB20" s="144"/>
    </row>
    <row r="21" spans="1:54">
      <c r="A21" s="14" t="s">
        <v>199</v>
      </c>
      <c r="B21" s="8" t="s">
        <v>183</v>
      </c>
      <c r="C21" s="8" t="str">
        <f t="shared" si="8"/>
        <v>Brazil_P2kh.br.sa.bra.13</v>
      </c>
      <c r="D21" s="8" t="s">
        <v>51</v>
      </c>
      <c r="E21" s="297" t="s">
        <v>52</v>
      </c>
      <c r="F21" s="20">
        <v>46104</v>
      </c>
      <c r="G21" s="19">
        <v>46320</v>
      </c>
      <c r="H21" s="8" t="s">
        <v>166</v>
      </c>
      <c r="I21" s="8" t="s">
        <v>254</v>
      </c>
      <c r="J21" s="8" t="s">
        <v>7</v>
      </c>
      <c r="K21" s="290"/>
      <c r="L21" s="51"/>
      <c r="M21" s="51"/>
      <c r="N21" s="205">
        <f>(SUM(AC21:AL21)/7.5)</f>
        <v>304.8</v>
      </c>
      <c r="O21" s="183"/>
      <c r="P21" s="121"/>
      <c r="Q21" s="61"/>
      <c r="R21" s="51"/>
      <c r="S21" s="51"/>
      <c r="T21" s="51"/>
      <c r="U21" s="51"/>
      <c r="V21" s="51"/>
      <c r="W21" s="51"/>
      <c r="X21" s="51"/>
      <c r="Y21" s="51"/>
      <c r="Z21" s="51"/>
      <c r="AA21" s="51"/>
      <c r="AB21" s="51"/>
      <c r="AC21" s="2">
        <v>122</v>
      </c>
      <c r="AD21" s="2">
        <v>133</v>
      </c>
      <c r="AE21" s="2">
        <v>74</v>
      </c>
      <c r="AF21" s="2">
        <v>1</v>
      </c>
      <c r="AG21" s="2">
        <v>42</v>
      </c>
      <c r="AH21" s="2">
        <v>95</v>
      </c>
      <c r="AI21" s="2">
        <v>34</v>
      </c>
      <c r="AJ21" s="2">
        <v>1147</v>
      </c>
      <c r="AK21" s="201">
        <v>351</v>
      </c>
      <c r="AL21" s="130">
        <v>287</v>
      </c>
      <c r="AM21" s="130"/>
      <c r="AN21" s="130"/>
      <c r="AS21" s="1">
        <f t="shared" si="10"/>
        <v>0</v>
      </c>
      <c r="AT21" s="1">
        <f t="shared" si="11"/>
        <v>0</v>
      </c>
      <c r="AU21" s="1">
        <f t="shared" si="12"/>
        <v>0</v>
      </c>
      <c r="AV21" s="1">
        <f t="shared" si="13"/>
        <v>2286</v>
      </c>
      <c r="AX21" s="144"/>
      <c r="AY21" s="144"/>
      <c r="AZ21" s="144"/>
      <c r="BA21" s="144"/>
      <c r="BB21" s="144"/>
    </row>
    <row r="22" spans="1:54">
      <c r="A22" s="14" t="s">
        <v>199</v>
      </c>
      <c r="B22" s="8" t="s">
        <v>183</v>
      </c>
      <c r="C22" s="8" t="str">
        <f t="shared" si="8"/>
        <v>Brazil_P2kh.br.sa.bra.14</v>
      </c>
      <c r="D22" s="8" t="s">
        <v>53</v>
      </c>
      <c r="E22" s="297" t="s">
        <v>54</v>
      </c>
      <c r="F22" s="20">
        <v>46105</v>
      </c>
      <c r="G22" s="19">
        <v>46323</v>
      </c>
      <c r="H22" s="8" t="s">
        <v>166</v>
      </c>
      <c r="I22" s="8" t="s">
        <v>254</v>
      </c>
      <c r="J22" s="8" t="s">
        <v>7</v>
      </c>
      <c r="K22" s="290"/>
      <c r="L22" s="51"/>
      <c r="M22" s="51"/>
      <c r="N22" s="205">
        <f>(SUM(AC22:AL22)/7.5)</f>
        <v>233.06666666666666</v>
      </c>
      <c r="O22" s="183"/>
      <c r="P22" s="121"/>
      <c r="Q22" s="61"/>
      <c r="R22" s="51"/>
      <c r="S22" s="51"/>
      <c r="T22" s="51"/>
      <c r="U22" s="51"/>
      <c r="V22" s="51"/>
      <c r="W22" s="51"/>
      <c r="X22" s="51"/>
      <c r="Y22" s="51"/>
      <c r="Z22" s="51"/>
      <c r="AA22" s="51"/>
      <c r="AB22" s="51"/>
      <c r="AC22" s="2">
        <v>92</v>
      </c>
      <c r="AD22" s="2">
        <v>100</v>
      </c>
      <c r="AE22" s="2">
        <v>56</v>
      </c>
      <c r="AF22" s="2">
        <v>1</v>
      </c>
      <c r="AG22" s="2">
        <v>32</v>
      </c>
      <c r="AH22" s="2">
        <v>77</v>
      </c>
      <c r="AI22" s="2">
        <v>25</v>
      </c>
      <c r="AJ22" s="2">
        <v>863</v>
      </c>
      <c r="AK22" s="201">
        <v>286</v>
      </c>
      <c r="AL22" s="130">
        <v>216</v>
      </c>
      <c r="AM22" s="130"/>
      <c r="AN22" s="130"/>
      <c r="AS22" s="1">
        <f t="shared" si="10"/>
        <v>0</v>
      </c>
      <c r="AT22" s="1">
        <f t="shared" si="11"/>
        <v>0</v>
      </c>
      <c r="AU22" s="1">
        <f t="shared" si="12"/>
        <v>0</v>
      </c>
      <c r="AV22" s="1">
        <f t="shared" si="13"/>
        <v>1748</v>
      </c>
      <c r="AX22" s="144"/>
      <c r="AY22" s="144"/>
      <c r="AZ22" s="144"/>
      <c r="BA22" s="144"/>
      <c r="BB22" s="144"/>
    </row>
    <row r="23" spans="1:54">
      <c r="A23" s="14" t="s">
        <v>199</v>
      </c>
      <c r="B23" s="8" t="s">
        <v>183</v>
      </c>
      <c r="C23" s="8" t="str">
        <f t="shared" si="8"/>
        <v>Brazil_P2kh.br.sa.bra.15</v>
      </c>
      <c r="D23" s="8" t="s">
        <v>55</v>
      </c>
      <c r="E23" s="296" t="s">
        <v>56</v>
      </c>
      <c r="F23" s="20">
        <v>46135</v>
      </c>
      <c r="G23" s="19">
        <v>46333</v>
      </c>
      <c r="H23" s="8" t="s">
        <v>166</v>
      </c>
      <c r="I23" s="8" t="s">
        <v>254</v>
      </c>
      <c r="J23" s="8" t="s">
        <v>7</v>
      </c>
      <c r="K23" s="290"/>
      <c r="L23" s="51"/>
      <c r="M23" s="51"/>
      <c r="N23" s="15">
        <f t="shared" ref="N23:N54" si="17">(SUM(Z23:AL23)/7.5)</f>
        <v>582.66666666666663</v>
      </c>
      <c r="O23" s="183"/>
      <c r="P23" s="121"/>
      <c r="Q23" s="61"/>
      <c r="R23" s="51"/>
      <c r="S23" s="51"/>
      <c r="T23" s="51"/>
      <c r="U23" s="51"/>
      <c r="V23" s="51"/>
      <c r="W23" s="51"/>
      <c r="X23" s="51"/>
      <c r="Y23" s="51"/>
      <c r="Z23" s="51"/>
      <c r="AA23" s="51"/>
      <c r="AB23" s="51"/>
      <c r="AC23" s="2">
        <v>261</v>
      </c>
      <c r="AD23" s="2">
        <v>311</v>
      </c>
      <c r="AE23" s="2">
        <v>68</v>
      </c>
      <c r="AF23" s="2">
        <v>5</v>
      </c>
      <c r="AG23" s="2">
        <v>91</v>
      </c>
      <c r="AH23" s="2">
        <v>159</v>
      </c>
      <c r="AI23" s="2">
        <v>72</v>
      </c>
      <c r="AJ23" s="2">
        <v>2454</v>
      </c>
      <c r="AK23" s="201">
        <v>335</v>
      </c>
      <c r="AL23" s="130">
        <v>614</v>
      </c>
      <c r="AM23" s="130"/>
      <c r="AN23" s="130"/>
      <c r="AS23" s="1">
        <f t="shared" si="10"/>
        <v>0</v>
      </c>
      <c r="AT23" s="1">
        <f t="shared" si="11"/>
        <v>0</v>
      </c>
      <c r="AU23" s="1">
        <f t="shared" si="12"/>
        <v>0</v>
      </c>
      <c r="AV23" s="1">
        <f t="shared" si="13"/>
        <v>4370</v>
      </c>
      <c r="AX23" s="144"/>
      <c r="AY23" s="144"/>
      <c r="AZ23" s="144"/>
      <c r="BA23" s="144"/>
      <c r="BB23" s="144"/>
    </row>
    <row r="24" spans="1:54">
      <c r="A24" s="14" t="s">
        <v>199</v>
      </c>
      <c r="B24" s="8" t="s">
        <v>183</v>
      </c>
      <c r="C24" s="8" t="str">
        <f t="shared" si="8"/>
        <v>Brazil_P2kh.br.sa.bra.12</v>
      </c>
      <c r="D24" s="8" t="s">
        <v>49</v>
      </c>
      <c r="E24" s="296" t="s">
        <v>50</v>
      </c>
      <c r="F24" s="20">
        <v>46148</v>
      </c>
      <c r="G24" s="19">
        <v>46338</v>
      </c>
      <c r="H24" s="8" t="s">
        <v>166</v>
      </c>
      <c r="I24" s="8" t="s">
        <v>254</v>
      </c>
      <c r="J24" s="8" t="s">
        <v>7</v>
      </c>
      <c r="K24" s="290"/>
      <c r="L24" s="51"/>
      <c r="M24" s="51"/>
      <c r="N24" s="15">
        <f t="shared" si="17"/>
        <v>115.86666666666666</v>
      </c>
      <c r="O24" s="183"/>
      <c r="P24" s="121"/>
      <c r="Q24" s="61"/>
      <c r="R24" s="51"/>
      <c r="S24" s="51"/>
      <c r="T24" s="51"/>
      <c r="U24" s="51"/>
      <c r="V24" s="51"/>
      <c r="W24" s="51"/>
      <c r="X24" s="51"/>
      <c r="Y24" s="51"/>
      <c r="Z24" s="51"/>
      <c r="AA24" s="51"/>
      <c r="AB24" s="51"/>
      <c r="AC24" s="2">
        <v>46</v>
      </c>
      <c r="AD24" s="2">
        <v>55</v>
      </c>
      <c r="AE24" s="2">
        <v>12</v>
      </c>
      <c r="AF24" s="2">
        <v>1</v>
      </c>
      <c r="AG24" s="2">
        <v>16</v>
      </c>
      <c r="AH24" s="2">
        <v>39</v>
      </c>
      <c r="AI24" s="2">
        <v>13</v>
      </c>
      <c r="AJ24" s="2">
        <v>433</v>
      </c>
      <c r="AK24" s="201">
        <v>146</v>
      </c>
      <c r="AL24" s="130">
        <v>108</v>
      </c>
      <c r="AM24" s="130"/>
      <c r="AN24" s="130"/>
      <c r="AS24" s="1">
        <f t="shared" si="10"/>
        <v>0</v>
      </c>
      <c r="AT24" s="1">
        <f t="shared" si="11"/>
        <v>0</v>
      </c>
      <c r="AU24" s="1">
        <f t="shared" si="12"/>
        <v>0</v>
      </c>
      <c r="AV24" s="1">
        <f t="shared" si="13"/>
        <v>869</v>
      </c>
      <c r="AX24" s="144"/>
      <c r="AY24" s="144"/>
      <c r="AZ24" s="144"/>
      <c r="BA24" s="144"/>
      <c r="BB24" s="144"/>
    </row>
    <row r="25" spans="1:54">
      <c r="A25" s="14" t="s">
        <v>199</v>
      </c>
      <c r="B25" s="8" t="s">
        <v>185</v>
      </c>
      <c r="C25" s="8" t="str">
        <f t="shared" si="8"/>
        <v>Brazil_P2kh.br.sa.bra.10_B</v>
      </c>
      <c r="D25" s="8" t="s">
        <v>45</v>
      </c>
      <c r="E25" s="8" t="s">
        <v>189</v>
      </c>
      <c r="F25" s="20">
        <v>46098</v>
      </c>
      <c r="G25" s="19">
        <v>46354</v>
      </c>
      <c r="H25" s="8" t="s">
        <v>166</v>
      </c>
      <c r="I25" s="8" t="s">
        <v>254</v>
      </c>
      <c r="J25" s="8" t="s">
        <v>7</v>
      </c>
      <c r="K25" s="290"/>
      <c r="L25" s="51"/>
      <c r="M25" s="51"/>
      <c r="N25" s="15">
        <f t="shared" si="17"/>
        <v>2746.1333333333332</v>
      </c>
      <c r="O25" s="183"/>
      <c r="P25" s="121"/>
      <c r="Q25" s="61"/>
      <c r="R25" s="51"/>
      <c r="S25" s="51"/>
      <c r="T25" s="51"/>
      <c r="U25" s="51"/>
      <c r="V25" s="51"/>
      <c r="W25" s="51"/>
      <c r="X25" s="51"/>
      <c r="Y25" s="51"/>
      <c r="Z25" s="2">
        <v>29</v>
      </c>
      <c r="AA25" s="2">
        <v>8350</v>
      </c>
      <c r="AB25" s="2">
        <v>2379</v>
      </c>
      <c r="AC25" s="1">
        <v>646</v>
      </c>
      <c r="AD25" s="286"/>
      <c r="AE25" s="286"/>
      <c r="AF25" s="1">
        <v>13</v>
      </c>
      <c r="AG25" s="1">
        <v>224</v>
      </c>
      <c r="AH25" s="1">
        <v>380</v>
      </c>
      <c r="AI25" s="1">
        <v>179</v>
      </c>
      <c r="AJ25" s="1">
        <v>6078</v>
      </c>
      <c r="AK25" s="200">
        <v>799</v>
      </c>
      <c r="AL25" s="130">
        <v>1519</v>
      </c>
      <c r="AM25" s="130"/>
      <c r="AN25" s="130"/>
      <c r="AS25" s="1">
        <f t="shared" si="10"/>
        <v>0</v>
      </c>
      <c r="AT25" s="1">
        <f t="shared" si="11"/>
        <v>0</v>
      </c>
      <c r="AU25" s="1">
        <f t="shared" si="12"/>
        <v>0</v>
      </c>
      <c r="AV25" s="1">
        <f t="shared" si="13"/>
        <v>20596</v>
      </c>
      <c r="AX25" s="144"/>
      <c r="AY25" s="144"/>
      <c r="AZ25" s="144"/>
      <c r="BA25" s="144"/>
      <c r="BB25" s="144"/>
    </row>
    <row r="26" spans="1:54">
      <c r="A26" s="14" t="s">
        <v>199</v>
      </c>
      <c r="B26" s="8" t="s">
        <v>185</v>
      </c>
      <c r="C26" s="8" t="str">
        <f t="shared" si="8"/>
        <v>Brazil_P2kh.br.sa.bra.10_A</v>
      </c>
      <c r="D26" s="8" t="s">
        <v>44</v>
      </c>
      <c r="E26" s="8" t="s">
        <v>188</v>
      </c>
      <c r="F26" s="20">
        <v>46155</v>
      </c>
      <c r="G26" s="19">
        <v>46369</v>
      </c>
      <c r="H26" s="8" t="s">
        <v>166</v>
      </c>
      <c r="I26" s="8" t="s">
        <v>254</v>
      </c>
      <c r="J26" s="8" t="s">
        <v>7</v>
      </c>
      <c r="K26" s="290"/>
      <c r="L26" s="51"/>
      <c r="M26" s="51"/>
      <c r="N26" s="15">
        <f t="shared" si="17"/>
        <v>1369.3333333333333</v>
      </c>
      <c r="O26" s="183"/>
      <c r="P26" s="121"/>
      <c r="Q26" s="61"/>
      <c r="R26" s="51"/>
      <c r="S26" s="51"/>
      <c r="T26" s="51"/>
      <c r="U26" s="51"/>
      <c r="V26" s="51"/>
      <c r="W26" s="51"/>
      <c r="X26" s="51"/>
      <c r="Y26" s="51"/>
      <c r="Z26" s="51"/>
      <c r="AA26" s="51"/>
      <c r="AB26" s="51"/>
      <c r="AC26" s="1">
        <v>512</v>
      </c>
      <c r="AD26" s="1">
        <v>594</v>
      </c>
      <c r="AE26" s="1">
        <v>133</v>
      </c>
      <c r="AF26" s="1">
        <v>10</v>
      </c>
      <c r="AG26" s="1">
        <v>178</v>
      </c>
      <c r="AH26" s="1">
        <v>311</v>
      </c>
      <c r="AI26" s="1">
        <v>142</v>
      </c>
      <c r="AJ26" s="1">
        <v>6186</v>
      </c>
      <c r="AK26" s="200">
        <v>657</v>
      </c>
      <c r="AL26" s="130">
        <v>1547</v>
      </c>
      <c r="AM26" s="130"/>
      <c r="AN26" s="130"/>
      <c r="AS26" s="1">
        <f t="shared" si="10"/>
        <v>0</v>
      </c>
      <c r="AT26" s="1">
        <f t="shared" si="11"/>
        <v>0</v>
      </c>
      <c r="AU26" s="1">
        <f t="shared" si="12"/>
        <v>0</v>
      </c>
      <c r="AV26" s="1">
        <f t="shared" si="13"/>
        <v>10270</v>
      </c>
      <c r="AX26" s="144"/>
      <c r="AY26" s="144"/>
      <c r="AZ26" s="144"/>
      <c r="BA26" s="144"/>
      <c r="BB26" s="144"/>
    </row>
    <row r="27" spans="1:54">
      <c r="A27" s="14" t="s">
        <v>199</v>
      </c>
      <c r="B27" s="8" t="s">
        <v>185</v>
      </c>
      <c r="C27" s="8" t="str">
        <f t="shared" si="8"/>
        <v>Brazil_P2kh.br.sa.bra.09_B</v>
      </c>
      <c r="D27" s="8" t="s">
        <v>43</v>
      </c>
      <c r="E27" s="296" t="s">
        <v>187</v>
      </c>
      <c r="F27" s="49">
        <v>46201</v>
      </c>
      <c r="G27" s="19">
        <v>46383</v>
      </c>
      <c r="H27" s="8" t="s">
        <v>166</v>
      </c>
      <c r="I27" s="8" t="s">
        <v>254</v>
      </c>
      <c r="J27" s="8" t="s">
        <v>7</v>
      </c>
      <c r="K27" s="290"/>
      <c r="L27" s="51"/>
      <c r="M27" s="51"/>
      <c r="N27" s="15">
        <f t="shared" si="17"/>
        <v>1339.8666666666666</v>
      </c>
      <c r="O27" s="183"/>
      <c r="P27" s="121"/>
      <c r="Q27" s="61"/>
      <c r="R27" s="51"/>
      <c r="S27" s="51"/>
      <c r="T27" s="51"/>
      <c r="U27" s="51"/>
      <c r="V27" s="51"/>
      <c r="W27" s="51"/>
      <c r="X27" s="51"/>
      <c r="Y27" s="51"/>
      <c r="Z27" s="2">
        <v>14</v>
      </c>
      <c r="AA27" s="2">
        <v>4052</v>
      </c>
      <c r="AB27" s="2">
        <v>1154</v>
      </c>
      <c r="AC27" s="2">
        <v>313</v>
      </c>
      <c r="AD27" s="286"/>
      <c r="AE27" s="286"/>
      <c r="AF27" s="2">
        <v>3</v>
      </c>
      <c r="AG27" s="2">
        <v>109</v>
      </c>
      <c r="AH27" s="2">
        <v>154</v>
      </c>
      <c r="AI27" s="2">
        <v>87</v>
      </c>
      <c r="AJ27" s="2">
        <v>2949</v>
      </c>
      <c r="AK27" s="201">
        <v>477</v>
      </c>
      <c r="AL27" s="130">
        <v>737</v>
      </c>
      <c r="AM27" s="130"/>
      <c r="AN27" s="130"/>
      <c r="AS27" s="1">
        <f t="shared" si="10"/>
        <v>0</v>
      </c>
      <c r="AT27" s="1">
        <f t="shared" si="11"/>
        <v>0</v>
      </c>
      <c r="AU27" s="1">
        <f t="shared" si="12"/>
        <v>0</v>
      </c>
      <c r="AV27" s="1">
        <f t="shared" si="13"/>
        <v>10049</v>
      </c>
      <c r="AX27" s="144"/>
      <c r="AY27" s="144"/>
      <c r="AZ27" s="144"/>
      <c r="BA27" s="144"/>
      <c r="BB27" s="144"/>
    </row>
    <row r="28" spans="1:54">
      <c r="A28" s="14" t="s">
        <v>199</v>
      </c>
      <c r="B28" s="8" t="s">
        <v>185</v>
      </c>
      <c r="C28" s="8" t="str">
        <f t="shared" si="8"/>
        <v>Brazil_P2kh.br.sa.bra.09_A</v>
      </c>
      <c r="D28" s="8" t="s">
        <v>42</v>
      </c>
      <c r="E28" s="296" t="s">
        <v>186</v>
      </c>
      <c r="F28" s="49">
        <v>46212</v>
      </c>
      <c r="G28" s="19">
        <v>46389</v>
      </c>
      <c r="H28" s="186" t="s">
        <v>166</v>
      </c>
      <c r="I28" s="8" t="s">
        <v>254</v>
      </c>
      <c r="J28" s="8" t="s">
        <v>7</v>
      </c>
      <c r="K28" s="290"/>
      <c r="L28" s="51"/>
      <c r="M28" s="51"/>
      <c r="N28" s="15">
        <f t="shared" si="17"/>
        <v>548.13333333333333</v>
      </c>
      <c r="O28" s="183"/>
      <c r="P28" s="121"/>
      <c r="Q28" s="61"/>
      <c r="R28" s="51"/>
      <c r="S28" s="51"/>
      <c r="T28" s="51"/>
      <c r="U28" s="51"/>
      <c r="V28" s="51"/>
      <c r="W28" s="51"/>
      <c r="X28" s="51"/>
      <c r="Y28" s="51"/>
      <c r="Z28" s="2">
        <v>3</v>
      </c>
      <c r="AA28" s="2">
        <v>938</v>
      </c>
      <c r="AB28" s="2">
        <v>2013</v>
      </c>
      <c r="AC28" s="2">
        <v>73</v>
      </c>
      <c r="AD28" s="286"/>
      <c r="AE28" s="286"/>
      <c r="AF28" s="2">
        <v>1</v>
      </c>
      <c r="AG28" s="2">
        <v>25</v>
      </c>
      <c r="AH28" s="2">
        <v>44</v>
      </c>
      <c r="AI28" s="2">
        <v>20</v>
      </c>
      <c r="AJ28" s="2">
        <v>683</v>
      </c>
      <c r="AK28" s="201">
        <v>140</v>
      </c>
      <c r="AL28" s="130">
        <v>171</v>
      </c>
      <c r="AM28" s="130"/>
      <c r="AN28" s="130"/>
      <c r="AS28" s="1">
        <f t="shared" si="10"/>
        <v>0</v>
      </c>
      <c r="AT28" s="1">
        <f t="shared" si="11"/>
        <v>0</v>
      </c>
      <c r="AU28" s="1">
        <f t="shared" si="12"/>
        <v>0</v>
      </c>
      <c r="AV28" s="1">
        <f t="shared" si="13"/>
        <v>4111</v>
      </c>
      <c r="AX28" s="144"/>
      <c r="AY28" s="144"/>
      <c r="AZ28" s="144"/>
      <c r="BA28" s="144"/>
      <c r="BB28" s="144"/>
    </row>
    <row r="29" spans="1:54">
      <c r="A29" s="14" t="s">
        <v>199</v>
      </c>
      <c r="B29" s="8" t="s">
        <v>179</v>
      </c>
      <c r="C29" s="8" t="str">
        <f t="shared" si="8"/>
        <v>Brazil_P2kh.br.sa.bra.07_A</v>
      </c>
      <c r="D29" s="8" t="s">
        <v>36</v>
      </c>
      <c r="E29" s="9" t="s">
        <v>180</v>
      </c>
      <c r="F29" s="262">
        <v>46312</v>
      </c>
      <c r="G29" s="19">
        <v>46404</v>
      </c>
      <c r="H29" s="186" t="s">
        <v>164</v>
      </c>
      <c r="I29" s="8" t="s">
        <v>254</v>
      </c>
      <c r="J29" s="8" t="s">
        <v>7</v>
      </c>
      <c r="K29" s="290"/>
      <c r="L29" s="18">
        <f>((SUM(R29:S29))/7.5)</f>
        <v>86.533333333333331</v>
      </c>
      <c r="M29" s="2">
        <f t="shared" ref="M29:M58" si="18">(SUM(T29:Y29)/7.5)</f>
        <v>1184.5333333333333</v>
      </c>
      <c r="N29" s="15">
        <f t="shared" si="17"/>
        <v>1969.6</v>
      </c>
      <c r="O29" s="183"/>
      <c r="P29" s="121"/>
      <c r="Q29" s="61"/>
      <c r="R29" s="1">
        <v>644</v>
      </c>
      <c r="S29" s="1">
        <v>5</v>
      </c>
      <c r="T29" s="1">
        <v>7574</v>
      </c>
      <c r="U29" s="1">
        <v>1</v>
      </c>
      <c r="V29" s="1">
        <v>646</v>
      </c>
      <c r="W29" s="1">
        <v>126</v>
      </c>
      <c r="X29" s="1">
        <v>201</v>
      </c>
      <c r="Y29" s="1">
        <v>336</v>
      </c>
      <c r="Z29" s="2">
        <v>21</v>
      </c>
      <c r="AA29" s="2">
        <v>6008</v>
      </c>
      <c r="AB29" s="2">
        <v>1712</v>
      </c>
      <c r="AC29" s="1">
        <v>465</v>
      </c>
      <c r="AD29" s="286"/>
      <c r="AE29" s="286"/>
      <c r="AF29" s="1">
        <v>9</v>
      </c>
      <c r="AG29" s="1">
        <v>161</v>
      </c>
      <c r="AH29" s="1">
        <v>260</v>
      </c>
      <c r="AI29" s="1">
        <v>129</v>
      </c>
      <c r="AJ29" s="1">
        <v>4373</v>
      </c>
      <c r="AK29" s="200">
        <v>541</v>
      </c>
      <c r="AL29" s="130">
        <v>1093</v>
      </c>
      <c r="AM29" s="130"/>
      <c r="AN29" s="130"/>
      <c r="AS29" s="1">
        <f t="shared" si="10"/>
        <v>0</v>
      </c>
      <c r="AT29" s="1">
        <f t="shared" si="11"/>
        <v>649</v>
      </c>
      <c r="AU29" s="1">
        <f t="shared" si="12"/>
        <v>8884</v>
      </c>
      <c r="AV29" s="1">
        <f t="shared" si="13"/>
        <v>14772</v>
      </c>
      <c r="AX29" s="144"/>
      <c r="AY29" s="144"/>
      <c r="AZ29" s="144"/>
      <c r="BA29" s="144"/>
      <c r="BB29" s="144"/>
    </row>
    <row r="30" spans="1:54">
      <c r="A30" s="14" t="s">
        <v>199</v>
      </c>
      <c r="B30" s="8" t="s">
        <v>179</v>
      </c>
      <c r="C30" s="8" t="str">
        <f t="shared" si="8"/>
        <v>Brazil_P2kh.br.sa.bra.06</v>
      </c>
      <c r="D30" s="8" t="s">
        <v>34</v>
      </c>
      <c r="E30" s="296" t="s">
        <v>35</v>
      </c>
      <c r="F30" s="49">
        <v>46233</v>
      </c>
      <c r="G30" s="19">
        <v>46414</v>
      </c>
      <c r="H30" s="186" t="s">
        <v>165</v>
      </c>
      <c r="I30" s="8" t="s">
        <v>239</v>
      </c>
      <c r="J30" s="8" t="s">
        <v>592</v>
      </c>
      <c r="K30" s="290"/>
      <c r="L30" s="290"/>
      <c r="M30" s="2">
        <f t="shared" si="18"/>
        <v>1143.4666666666667</v>
      </c>
      <c r="N30" s="15">
        <f t="shared" si="17"/>
        <v>1914.1333333333334</v>
      </c>
      <c r="O30" s="183"/>
      <c r="P30" s="121"/>
      <c r="Q30" s="61"/>
      <c r="R30" s="51"/>
      <c r="S30" s="51"/>
      <c r="T30" s="265">
        <v>6615</v>
      </c>
      <c r="U30" s="2">
        <v>1</v>
      </c>
      <c r="V30" s="2">
        <v>624</v>
      </c>
      <c r="W30" s="2">
        <v>122</v>
      </c>
      <c r="X30" s="2">
        <v>194</v>
      </c>
      <c r="Y30" s="2">
        <v>1020</v>
      </c>
      <c r="Z30" s="2">
        <v>20</v>
      </c>
      <c r="AA30" s="2">
        <v>5804</v>
      </c>
      <c r="AB30" s="2">
        <v>1654</v>
      </c>
      <c r="AC30" s="2">
        <v>449</v>
      </c>
      <c r="AD30" s="286"/>
      <c r="AE30" s="286"/>
      <c r="AF30" s="2">
        <v>9</v>
      </c>
      <c r="AG30" s="2">
        <v>156</v>
      </c>
      <c r="AH30" s="2">
        <v>276</v>
      </c>
      <c r="AI30" s="2">
        <v>125</v>
      </c>
      <c r="AJ30" s="2">
        <v>4225</v>
      </c>
      <c r="AK30" s="201">
        <v>582</v>
      </c>
      <c r="AL30" s="130">
        <v>1056</v>
      </c>
      <c r="AM30" s="130"/>
      <c r="AN30" s="130"/>
      <c r="AS30" s="1">
        <f t="shared" si="10"/>
        <v>0</v>
      </c>
      <c r="AT30" s="1">
        <f t="shared" si="11"/>
        <v>0</v>
      </c>
      <c r="AU30" s="1">
        <f t="shared" si="12"/>
        <v>8576</v>
      </c>
      <c r="AV30" s="1">
        <f t="shared" si="13"/>
        <v>14356</v>
      </c>
      <c r="AX30" s="316">
        <f>T30</f>
        <v>6615</v>
      </c>
      <c r="AY30" s="316">
        <f>SUM(U30:Y30)</f>
        <v>1961</v>
      </c>
      <c r="AZ30" s="144" t="str">
        <f t="shared" ref="AZ30" si="19">E30</f>
        <v>Porto Alegre</v>
      </c>
      <c r="BA30" s="316">
        <f t="shared" ref="BA30" si="20">AX30/7.5*0.9</f>
        <v>793.80000000000007</v>
      </c>
      <c r="BB30" s="316">
        <f t="shared" ref="BB30" si="21">AY30/7.5*0.8</f>
        <v>209.17333333333332</v>
      </c>
    </row>
    <row r="31" spans="1:54">
      <c r="A31" s="14" t="s">
        <v>199</v>
      </c>
      <c r="B31" s="8" t="s">
        <v>179</v>
      </c>
      <c r="C31" s="8" t="str">
        <f t="shared" si="8"/>
        <v>Brazil_P2kh.br.sa.bra.05</v>
      </c>
      <c r="D31" s="8" t="s">
        <v>32</v>
      </c>
      <c r="E31" s="8" t="s">
        <v>33</v>
      </c>
      <c r="F31" s="49">
        <v>46245</v>
      </c>
      <c r="G31" s="19">
        <v>46419</v>
      </c>
      <c r="H31" s="186" t="s">
        <v>166</v>
      </c>
      <c r="I31" s="8" t="s">
        <v>254</v>
      </c>
      <c r="J31" s="8" t="s">
        <v>7</v>
      </c>
      <c r="K31" s="290"/>
      <c r="L31" s="180"/>
      <c r="M31" s="300">
        <f t="shared" si="18"/>
        <v>0</v>
      </c>
      <c r="N31" s="15">
        <f t="shared" si="17"/>
        <v>549.86666666666667</v>
      </c>
      <c r="O31" s="183"/>
      <c r="P31" s="121"/>
      <c r="Q31" s="61"/>
      <c r="R31" s="51"/>
      <c r="S31" s="51"/>
      <c r="T31" s="51"/>
      <c r="U31" s="51"/>
      <c r="V31" s="51"/>
      <c r="W31" s="51"/>
      <c r="X31" s="51"/>
      <c r="Y31" s="51"/>
      <c r="Z31" s="2">
        <v>6</v>
      </c>
      <c r="AA31" s="2">
        <v>1614</v>
      </c>
      <c r="AB31" s="2">
        <v>460</v>
      </c>
      <c r="AC31" s="1">
        <v>125</v>
      </c>
      <c r="AD31" s="286"/>
      <c r="AE31" s="286"/>
      <c r="AF31" s="1">
        <v>1</v>
      </c>
      <c r="AG31" s="1">
        <v>43</v>
      </c>
      <c r="AH31" s="1">
        <v>81</v>
      </c>
      <c r="AI31" s="1">
        <v>35</v>
      </c>
      <c r="AJ31" s="1">
        <v>1174</v>
      </c>
      <c r="AK31" s="200">
        <v>291</v>
      </c>
      <c r="AL31" s="130">
        <v>294</v>
      </c>
      <c r="AM31" s="130"/>
      <c r="AN31" s="130"/>
      <c r="AS31" s="1">
        <f t="shared" si="10"/>
        <v>0</v>
      </c>
      <c r="AT31" s="1">
        <f t="shared" si="11"/>
        <v>0</v>
      </c>
      <c r="AU31" s="1">
        <f t="shared" si="12"/>
        <v>0</v>
      </c>
      <c r="AV31" s="1">
        <f t="shared" si="13"/>
        <v>4124</v>
      </c>
      <c r="AX31" s="144"/>
      <c r="AY31" s="144"/>
      <c r="AZ31" s="144"/>
      <c r="BA31" s="144"/>
      <c r="BB31" s="144"/>
    </row>
    <row r="32" spans="1:54">
      <c r="A32" s="14" t="s">
        <v>199</v>
      </c>
      <c r="B32" s="8" t="s">
        <v>179</v>
      </c>
      <c r="C32" s="8" t="str">
        <f t="shared" si="8"/>
        <v>Brazil_P2kh.br.sa.bra.07_B</v>
      </c>
      <c r="D32" s="8" t="s">
        <v>37</v>
      </c>
      <c r="E32" s="296" t="s">
        <v>181</v>
      </c>
      <c r="F32" s="145">
        <v>46350</v>
      </c>
      <c r="G32" s="19">
        <v>46427</v>
      </c>
      <c r="H32" s="186" t="s">
        <v>164</v>
      </c>
      <c r="I32" s="8" t="s">
        <v>254</v>
      </c>
      <c r="J32" s="8" t="s">
        <v>7</v>
      </c>
      <c r="K32" s="290"/>
      <c r="L32" s="18">
        <f t="shared" ref="L32:L37" si="22">((SUM(R32:S32))/7.5)</f>
        <v>246</v>
      </c>
      <c r="M32" s="2">
        <f t="shared" si="18"/>
        <v>732</v>
      </c>
      <c r="N32" s="15">
        <f t="shared" si="17"/>
        <v>1124.8</v>
      </c>
      <c r="O32" s="183"/>
      <c r="P32" s="121"/>
      <c r="Q32" s="61"/>
      <c r="R32" s="2">
        <v>1808</v>
      </c>
      <c r="S32" s="2">
        <v>37</v>
      </c>
      <c r="T32" s="2">
        <v>4330</v>
      </c>
      <c r="U32" s="2">
        <v>0</v>
      </c>
      <c r="V32" s="2">
        <v>369</v>
      </c>
      <c r="W32" s="2">
        <v>72</v>
      </c>
      <c r="X32" s="2">
        <v>115</v>
      </c>
      <c r="Y32" s="2">
        <v>604</v>
      </c>
      <c r="Z32" s="2">
        <v>12</v>
      </c>
      <c r="AA32" s="2">
        <v>3434</v>
      </c>
      <c r="AB32" s="2">
        <v>978</v>
      </c>
      <c r="AC32" s="2">
        <v>266</v>
      </c>
      <c r="AD32" s="286"/>
      <c r="AE32" s="286"/>
      <c r="AF32" s="2">
        <v>5</v>
      </c>
      <c r="AG32" s="2">
        <v>92</v>
      </c>
      <c r="AH32" s="2">
        <v>146</v>
      </c>
      <c r="AI32" s="2">
        <v>74</v>
      </c>
      <c r="AJ32" s="2">
        <v>2500</v>
      </c>
      <c r="AK32" s="201">
        <v>304</v>
      </c>
      <c r="AL32" s="130">
        <v>625</v>
      </c>
      <c r="AM32" s="130"/>
      <c r="AN32" s="130"/>
      <c r="AS32" s="1">
        <f t="shared" si="10"/>
        <v>0</v>
      </c>
      <c r="AT32" s="1">
        <f t="shared" si="11"/>
        <v>1845</v>
      </c>
      <c r="AU32" s="1">
        <f t="shared" si="12"/>
        <v>5490</v>
      </c>
      <c r="AV32" s="1">
        <f t="shared" si="13"/>
        <v>8436</v>
      </c>
      <c r="AX32" s="316"/>
      <c r="AY32" s="316"/>
      <c r="AZ32" s="144"/>
      <c r="BA32" s="144"/>
      <c r="BB32" s="144"/>
    </row>
    <row r="33" spans="1:54">
      <c r="A33" s="14" t="s">
        <v>199</v>
      </c>
      <c r="B33" s="8" t="s">
        <v>182</v>
      </c>
      <c r="C33" s="8" t="str">
        <f t="shared" si="8"/>
        <v>Brazil_P2kh.br.sa.bra.04</v>
      </c>
      <c r="D33" s="8" t="s">
        <v>30</v>
      </c>
      <c r="E33" s="8" t="s">
        <v>31</v>
      </c>
      <c r="F33" s="49">
        <v>46253</v>
      </c>
      <c r="G33" s="19">
        <v>46434</v>
      </c>
      <c r="H33" s="186" t="s">
        <v>165</v>
      </c>
      <c r="I33" s="8" t="s">
        <v>239</v>
      </c>
      <c r="J33" s="8" t="s">
        <v>592</v>
      </c>
      <c r="K33" s="290"/>
      <c r="L33" s="290"/>
      <c r="M33" s="2">
        <f t="shared" si="18"/>
        <v>316.53333333333336</v>
      </c>
      <c r="N33" s="15">
        <f t="shared" si="17"/>
        <v>872.66666666666663</v>
      </c>
      <c r="O33" s="183"/>
      <c r="P33" s="119"/>
      <c r="Q33" s="61"/>
      <c r="R33" s="51"/>
      <c r="S33" s="51"/>
      <c r="T33" s="264">
        <v>1834</v>
      </c>
      <c r="U33" s="1">
        <v>1</v>
      </c>
      <c r="V33" s="1">
        <v>115</v>
      </c>
      <c r="W33" s="1">
        <v>164</v>
      </c>
      <c r="X33" s="1">
        <v>15</v>
      </c>
      <c r="Y33" s="1">
        <v>245</v>
      </c>
      <c r="Z33" s="2">
        <v>9</v>
      </c>
      <c r="AA33" s="2">
        <v>1638</v>
      </c>
      <c r="AB33" s="2">
        <v>1026</v>
      </c>
      <c r="AC33" s="1">
        <v>278</v>
      </c>
      <c r="AD33" s="286"/>
      <c r="AE33" s="286"/>
      <c r="AF33" s="1">
        <v>1</v>
      </c>
      <c r="AG33" s="1">
        <v>97</v>
      </c>
      <c r="AH33" s="1">
        <v>105</v>
      </c>
      <c r="AI33" s="1">
        <v>77</v>
      </c>
      <c r="AJ33" s="1">
        <v>2346</v>
      </c>
      <c r="AK33" s="200">
        <v>381</v>
      </c>
      <c r="AL33" s="130">
        <v>587</v>
      </c>
      <c r="AM33" s="130"/>
      <c r="AN33" s="130"/>
      <c r="AS33" s="1">
        <f t="shared" si="10"/>
        <v>0</v>
      </c>
      <c r="AT33" s="1">
        <f t="shared" si="11"/>
        <v>0</v>
      </c>
      <c r="AU33" s="1">
        <f t="shared" si="12"/>
        <v>2374</v>
      </c>
      <c r="AV33" s="1">
        <f t="shared" si="13"/>
        <v>6545</v>
      </c>
      <c r="AX33" s="316">
        <f>T33</f>
        <v>1834</v>
      </c>
      <c r="AY33" s="316">
        <f>SUM(U33:Y33)</f>
        <v>540</v>
      </c>
      <c r="AZ33" s="144" t="str">
        <f t="shared" ref="AZ33" si="23">E33</f>
        <v>Cuiaba</v>
      </c>
      <c r="BA33" s="316">
        <f t="shared" ref="BA33" si="24">AX33/7.5*0.9</f>
        <v>220.08</v>
      </c>
      <c r="BB33" s="316">
        <f t="shared" ref="BB33" si="25">AY33/7.5*0.8</f>
        <v>57.6</v>
      </c>
    </row>
    <row r="34" spans="1:54">
      <c r="A34" s="14" t="s">
        <v>199</v>
      </c>
      <c r="B34" s="8" t="s">
        <v>182</v>
      </c>
      <c r="C34" s="8" t="str">
        <f t="shared" si="8"/>
        <v>Brazil_P2kh.br.sa.bra.01</v>
      </c>
      <c r="D34" s="8" t="s">
        <v>24</v>
      </c>
      <c r="E34" s="296" t="s">
        <v>25</v>
      </c>
      <c r="F34" s="49">
        <v>46259</v>
      </c>
      <c r="G34" s="19">
        <v>46435</v>
      </c>
      <c r="H34" s="186" t="s">
        <v>166</v>
      </c>
      <c r="I34" s="8" t="s">
        <v>254</v>
      </c>
      <c r="J34" s="8" t="s">
        <v>7</v>
      </c>
      <c r="K34" s="290"/>
      <c r="L34" s="290"/>
      <c r="M34" s="2">
        <f t="shared" si="18"/>
        <v>0</v>
      </c>
      <c r="N34" s="15">
        <f t="shared" si="17"/>
        <v>389.33333333333331</v>
      </c>
      <c r="O34" s="183"/>
      <c r="P34" s="121"/>
      <c r="Q34" s="61"/>
      <c r="R34" s="51"/>
      <c r="S34" s="51"/>
      <c r="T34" s="51"/>
      <c r="U34" s="51"/>
      <c r="V34" s="51"/>
      <c r="W34" s="51"/>
      <c r="X34" s="51"/>
      <c r="Y34" s="51"/>
      <c r="Z34" s="2">
        <v>4</v>
      </c>
      <c r="AA34" s="2">
        <v>1121</v>
      </c>
      <c r="AB34" s="2">
        <v>319</v>
      </c>
      <c r="AC34" s="2">
        <v>87</v>
      </c>
      <c r="AD34" s="286"/>
      <c r="AE34" s="286"/>
      <c r="AF34" s="2">
        <v>1</v>
      </c>
      <c r="AG34" s="2">
        <v>30</v>
      </c>
      <c r="AH34" s="2">
        <v>67</v>
      </c>
      <c r="AI34" s="2">
        <v>24</v>
      </c>
      <c r="AJ34" s="2">
        <v>816</v>
      </c>
      <c r="AK34" s="201">
        <v>247</v>
      </c>
      <c r="AL34" s="130">
        <v>204</v>
      </c>
      <c r="AM34" s="130"/>
      <c r="AN34" s="130"/>
      <c r="AS34" s="1">
        <f t="shared" si="10"/>
        <v>0</v>
      </c>
      <c r="AT34" s="1">
        <f t="shared" si="11"/>
        <v>0</v>
      </c>
      <c r="AU34" s="1">
        <f t="shared" si="12"/>
        <v>0</v>
      </c>
      <c r="AV34" s="1">
        <f t="shared" si="13"/>
        <v>2920</v>
      </c>
      <c r="AX34" s="144"/>
      <c r="AY34" s="144"/>
      <c r="AZ34" s="144"/>
      <c r="BA34" s="144"/>
      <c r="BB34" s="144"/>
    </row>
    <row r="35" spans="1:54">
      <c r="A35" s="14" t="s">
        <v>199</v>
      </c>
      <c r="B35" s="8" t="s">
        <v>182</v>
      </c>
      <c r="C35" s="8" t="str">
        <f t="shared" si="8"/>
        <v>Brazil_P2kh.br.sa.bra.03</v>
      </c>
      <c r="D35" s="8" t="s">
        <v>28</v>
      </c>
      <c r="E35" s="296" t="s">
        <v>29</v>
      </c>
      <c r="F35" s="49">
        <v>46272</v>
      </c>
      <c r="G35" s="19">
        <v>46437</v>
      </c>
      <c r="H35" s="186" t="s">
        <v>164</v>
      </c>
      <c r="I35" s="8" t="s">
        <v>238</v>
      </c>
      <c r="J35" s="8" t="s">
        <v>167</v>
      </c>
      <c r="K35" s="290"/>
      <c r="L35" s="18">
        <f t="shared" si="22"/>
        <v>229.46666666666667</v>
      </c>
      <c r="M35" s="2">
        <f t="shared" si="18"/>
        <v>95.733333333333334</v>
      </c>
      <c r="N35" s="15">
        <f t="shared" si="17"/>
        <v>740.5333333333333</v>
      </c>
      <c r="O35" s="183"/>
      <c r="P35" s="121"/>
      <c r="Q35" s="61"/>
      <c r="R35" s="313">
        <v>1675</v>
      </c>
      <c r="S35" s="2">
        <v>46</v>
      </c>
      <c r="T35" s="309"/>
      <c r="U35" s="309"/>
      <c r="V35" s="2">
        <v>229</v>
      </c>
      <c r="W35" s="2">
        <v>43</v>
      </c>
      <c r="X35" s="2">
        <v>71</v>
      </c>
      <c r="Y35" s="2">
        <v>375</v>
      </c>
      <c r="Z35" s="2">
        <v>7</v>
      </c>
      <c r="AA35" s="2">
        <v>2134</v>
      </c>
      <c r="AB35" s="2">
        <v>608</v>
      </c>
      <c r="AC35" s="2">
        <v>165</v>
      </c>
      <c r="AD35" s="286"/>
      <c r="AE35" s="286"/>
      <c r="AF35" s="2">
        <v>2</v>
      </c>
      <c r="AG35" s="2">
        <v>57</v>
      </c>
      <c r="AH35" s="2">
        <v>127</v>
      </c>
      <c r="AI35" s="2">
        <v>46</v>
      </c>
      <c r="AJ35" s="2">
        <v>1554</v>
      </c>
      <c r="AK35" s="201">
        <v>466</v>
      </c>
      <c r="AL35" s="130">
        <v>388</v>
      </c>
      <c r="AM35" s="130"/>
      <c r="AN35" s="130"/>
      <c r="AS35" s="1">
        <f t="shared" si="10"/>
        <v>0</v>
      </c>
      <c r="AT35" s="1">
        <f t="shared" si="11"/>
        <v>1721</v>
      </c>
      <c r="AU35" s="1">
        <f t="shared" si="12"/>
        <v>718</v>
      </c>
      <c r="AV35" s="1">
        <f t="shared" si="13"/>
        <v>5554</v>
      </c>
      <c r="AX35" s="316">
        <f>R35</f>
        <v>1675</v>
      </c>
      <c r="AY35" s="316">
        <f>SUM(S35:Y35)</f>
        <v>764</v>
      </c>
      <c r="AZ35" s="144" t="str">
        <f t="shared" ref="AZ35:AZ36" si="26">E35</f>
        <v>Belem</v>
      </c>
      <c r="BA35" s="316">
        <f t="shared" ref="BA35" si="27">AX35/7.5*0.9</f>
        <v>201</v>
      </c>
      <c r="BB35" s="316">
        <f t="shared" ref="BB35" si="28">AY35/7.5*0.8</f>
        <v>81.493333333333339</v>
      </c>
    </row>
    <row r="36" spans="1:54" ht="14" thickBot="1">
      <c r="A36" s="10" t="s">
        <v>199</v>
      </c>
      <c r="B36" s="11" t="s">
        <v>182</v>
      </c>
      <c r="C36" s="11" t="str">
        <f t="shared" si="8"/>
        <v>Brazil_P2kh.br.sa.bra.02</v>
      </c>
      <c r="D36" s="11" t="s">
        <v>26</v>
      </c>
      <c r="E36" s="9" t="s">
        <v>27</v>
      </c>
      <c r="F36" s="49">
        <v>46276</v>
      </c>
      <c r="G36" s="145">
        <v>46437</v>
      </c>
      <c r="H36" s="186" t="s">
        <v>165</v>
      </c>
      <c r="I36" s="8" t="s">
        <v>238</v>
      </c>
      <c r="J36" s="8" t="s">
        <v>170</v>
      </c>
      <c r="K36" s="291"/>
      <c r="L36" s="52">
        <f t="shared" si="22"/>
        <v>0</v>
      </c>
      <c r="M36" s="117">
        <f t="shared" si="18"/>
        <v>17.466666666666665</v>
      </c>
      <c r="N36" s="13">
        <f t="shared" si="17"/>
        <v>512</v>
      </c>
      <c r="O36" s="185"/>
      <c r="P36" s="120"/>
      <c r="Q36" s="61"/>
      <c r="R36" s="51"/>
      <c r="S36" s="51"/>
      <c r="T36" s="310"/>
      <c r="U36" s="310"/>
      <c r="V36" s="51"/>
      <c r="W36" s="313">
        <v>0</v>
      </c>
      <c r="X36" s="12">
        <v>49</v>
      </c>
      <c r="Y36" s="12">
        <v>82</v>
      </c>
      <c r="Z36" s="12">
        <v>5</v>
      </c>
      <c r="AA36" s="12">
        <v>1461</v>
      </c>
      <c r="AB36" s="12">
        <v>416</v>
      </c>
      <c r="AC36" s="12">
        <v>113</v>
      </c>
      <c r="AD36" s="287"/>
      <c r="AE36" s="287"/>
      <c r="AF36" s="12">
        <v>1</v>
      </c>
      <c r="AG36" s="12">
        <v>39</v>
      </c>
      <c r="AH36" s="12">
        <v>94</v>
      </c>
      <c r="AI36" s="12">
        <v>31</v>
      </c>
      <c r="AJ36" s="12">
        <v>1063</v>
      </c>
      <c r="AK36" s="202">
        <v>351</v>
      </c>
      <c r="AL36" s="131">
        <v>266</v>
      </c>
      <c r="AM36" s="131"/>
      <c r="AN36" s="131"/>
      <c r="AS36" s="1">
        <f t="shared" si="10"/>
        <v>0</v>
      </c>
      <c r="AT36" s="1">
        <f t="shared" si="11"/>
        <v>0</v>
      </c>
      <c r="AU36" s="1">
        <f t="shared" si="12"/>
        <v>131</v>
      </c>
      <c r="AV36" s="1">
        <f t="shared" si="13"/>
        <v>3840</v>
      </c>
      <c r="AX36" s="316">
        <f>R36</f>
        <v>0</v>
      </c>
      <c r="AY36" s="316">
        <f>SUM(S36:Y36)</f>
        <v>131</v>
      </c>
      <c r="AZ36" s="144" t="str">
        <f t="shared" si="26"/>
        <v>Manaus</v>
      </c>
      <c r="BA36" s="316">
        <f t="shared" ref="BA36" si="29">AX36/7.5*0.9</f>
        <v>0</v>
      </c>
      <c r="BB36" s="316">
        <f t="shared" ref="BB36" si="30">AY36/7.5*0.8</f>
        <v>13.973333333333333</v>
      </c>
    </row>
    <row r="37" spans="1:54" ht="14" customHeight="1">
      <c r="A37" s="222" t="s">
        <v>425</v>
      </c>
      <c r="B37" s="223" t="s">
        <v>429</v>
      </c>
      <c r="C37" s="223" t="str">
        <f t="shared" si="8"/>
        <v>Indonesiakh.br.as.idn.01</v>
      </c>
      <c r="D37" s="223" t="s">
        <v>472</v>
      </c>
      <c r="E37" s="8" t="s">
        <v>473</v>
      </c>
      <c r="F37" s="19">
        <v>46594</v>
      </c>
      <c r="G37" s="19">
        <v>46719</v>
      </c>
      <c r="H37" s="186" t="s">
        <v>226</v>
      </c>
      <c r="I37" s="8" t="s">
        <v>254</v>
      </c>
      <c r="J37" s="8" t="s">
        <v>7</v>
      </c>
      <c r="K37" s="292">
        <f>(Q37/7.5)</f>
        <v>31.6</v>
      </c>
      <c r="L37" s="224">
        <f t="shared" si="22"/>
        <v>90.13333333333334</v>
      </c>
      <c r="M37" s="225">
        <f t="shared" si="18"/>
        <v>112.4</v>
      </c>
      <c r="N37" s="226">
        <f t="shared" si="17"/>
        <v>81.066666666666663</v>
      </c>
      <c r="O37" s="203"/>
      <c r="P37" s="214"/>
      <c r="Q37" s="227">
        <v>237</v>
      </c>
      <c r="R37" s="228">
        <v>633</v>
      </c>
      <c r="S37" s="228">
        <v>43</v>
      </c>
      <c r="T37" s="228">
        <v>583</v>
      </c>
      <c r="U37" s="228">
        <v>5</v>
      </c>
      <c r="V37" s="228">
        <v>74</v>
      </c>
      <c r="W37" s="228">
        <v>75</v>
      </c>
      <c r="X37" s="228">
        <v>45</v>
      </c>
      <c r="Y37" s="228">
        <v>61</v>
      </c>
      <c r="Z37" s="228">
        <v>16</v>
      </c>
      <c r="AA37" s="228">
        <v>176</v>
      </c>
      <c r="AB37" s="228">
        <v>117</v>
      </c>
      <c r="AC37" s="228">
        <v>58</v>
      </c>
      <c r="AD37" s="228">
        <v>35</v>
      </c>
      <c r="AE37" s="228">
        <v>4</v>
      </c>
      <c r="AF37" s="228">
        <v>0</v>
      </c>
      <c r="AG37" s="228">
        <v>18</v>
      </c>
      <c r="AH37" s="228">
        <v>7</v>
      </c>
      <c r="AI37" s="228">
        <v>8</v>
      </c>
      <c r="AJ37" s="228">
        <v>158</v>
      </c>
      <c r="AK37" s="228">
        <v>11</v>
      </c>
      <c r="AL37" s="132"/>
      <c r="AM37" s="132"/>
      <c r="AN37" s="173"/>
      <c r="AS37" s="1">
        <f t="shared" si="10"/>
        <v>237</v>
      </c>
      <c r="AT37" s="1">
        <f t="shared" si="11"/>
        <v>676</v>
      </c>
      <c r="AU37" s="1">
        <f t="shared" si="12"/>
        <v>843</v>
      </c>
      <c r="AV37" s="1">
        <f t="shared" si="13"/>
        <v>608</v>
      </c>
    </row>
    <row r="38" spans="1:54" ht="14" customHeight="1">
      <c r="A38" s="14" t="s">
        <v>425</v>
      </c>
      <c r="B38" s="8" t="s">
        <v>429</v>
      </c>
      <c r="C38" s="8" t="str">
        <f t="shared" si="8"/>
        <v>Indonesiakh.br.as.idn.05</v>
      </c>
      <c r="D38" s="8" t="s">
        <v>474</v>
      </c>
      <c r="E38" s="8" t="s">
        <v>475</v>
      </c>
      <c r="F38" s="19">
        <v>46627</v>
      </c>
      <c r="G38" s="19">
        <v>46739</v>
      </c>
      <c r="H38" s="186" t="s">
        <v>226</v>
      </c>
      <c r="I38" s="8" t="s">
        <v>254</v>
      </c>
      <c r="J38" s="8" t="s">
        <v>7</v>
      </c>
      <c r="K38" s="293">
        <f t="shared" ref="K38:K80" si="31">(Q38/7.5)</f>
        <v>54</v>
      </c>
      <c r="L38" s="18">
        <f t="shared" ref="L38:L80" si="32">((SUM(R38:S38))/7.5)</f>
        <v>154</v>
      </c>
      <c r="M38" s="2">
        <f t="shared" si="18"/>
        <v>192.13333333333333</v>
      </c>
      <c r="N38" s="200">
        <f t="shared" si="17"/>
        <v>138.26666666666668</v>
      </c>
      <c r="O38" s="135"/>
      <c r="P38" s="214"/>
      <c r="Q38" s="229">
        <v>405</v>
      </c>
      <c r="R38" s="216">
        <v>1081</v>
      </c>
      <c r="S38" s="216">
        <v>74</v>
      </c>
      <c r="T38" s="216">
        <v>996</v>
      </c>
      <c r="U38" s="216">
        <v>8</v>
      </c>
      <c r="V38" s="216">
        <v>127</v>
      </c>
      <c r="W38" s="216">
        <v>129</v>
      </c>
      <c r="X38" s="216">
        <v>77</v>
      </c>
      <c r="Y38" s="216">
        <v>104</v>
      </c>
      <c r="Z38" s="216">
        <v>27</v>
      </c>
      <c r="AA38" s="216">
        <v>300</v>
      </c>
      <c r="AB38" s="216">
        <v>200</v>
      </c>
      <c r="AC38" s="216">
        <v>100</v>
      </c>
      <c r="AD38" s="216">
        <v>60</v>
      </c>
      <c r="AE38" s="216">
        <v>6</v>
      </c>
      <c r="AF38" s="216">
        <v>0</v>
      </c>
      <c r="AG38" s="216">
        <v>30</v>
      </c>
      <c r="AH38" s="216">
        <v>12</v>
      </c>
      <c r="AI38" s="216">
        <v>14</v>
      </c>
      <c r="AJ38" s="216">
        <v>270</v>
      </c>
      <c r="AK38" s="216">
        <v>18</v>
      </c>
      <c r="AL38" s="130"/>
      <c r="AM38" s="130"/>
      <c r="AN38" s="218"/>
      <c r="AS38" s="1">
        <f t="shared" si="10"/>
        <v>405</v>
      </c>
      <c r="AT38" s="1">
        <f t="shared" si="11"/>
        <v>1155</v>
      </c>
      <c r="AU38" s="1">
        <f t="shared" si="12"/>
        <v>1441</v>
      </c>
      <c r="AV38" s="1">
        <f t="shared" si="13"/>
        <v>1037</v>
      </c>
    </row>
    <row r="39" spans="1:54" ht="14" customHeight="1">
      <c r="A39" s="14" t="s">
        <v>425</v>
      </c>
      <c r="B39" s="8" t="s">
        <v>429</v>
      </c>
      <c r="C39" s="8" t="str">
        <f t="shared" si="8"/>
        <v>Indonesiakh.br.as.idn.04</v>
      </c>
      <c r="D39" s="8" t="s">
        <v>476</v>
      </c>
      <c r="E39" s="8" t="s">
        <v>477</v>
      </c>
      <c r="F39" s="19">
        <v>46639</v>
      </c>
      <c r="G39" s="19">
        <v>46754</v>
      </c>
      <c r="H39" s="186" t="s">
        <v>226</v>
      </c>
      <c r="I39" s="8" t="s">
        <v>254</v>
      </c>
      <c r="J39" s="8" t="s">
        <v>7</v>
      </c>
      <c r="K39" s="293">
        <f t="shared" si="31"/>
        <v>92.933333333333337</v>
      </c>
      <c r="L39" s="18">
        <f t="shared" si="32"/>
        <v>264.66666666666669</v>
      </c>
      <c r="M39" s="2">
        <f t="shared" si="18"/>
        <v>330.4</v>
      </c>
      <c r="N39" s="200">
        <f t="shared" si="17"/>
        <v>237.46666666666667</v>
      </c>
      <c r="O39" s="135"/>
      <c r="P39" s="214"/>
      <c r="Q39" s="229">
        <v>697</v>
      </c>
      <c r="R39" s="216">
        <v>1858</v>
      </c>
      <c r="S39" s="216">
        <v>127</v>
      </c>
      <c r="T39" s="216">
        <v>1711</v>
      </c>
      <c r="U39" s="216">
        <v>15</v>
      </c>
      <c r="V39" s="216">
        <v>219</v>
      </c>
      <c r="W39" s="216">
        <v>221</v>
      </c>
      <c r="X39" s="216">
        <v>133</v>
      </c>
      <c r="Y39" s="216">
        <v>179</v>
      </c>
      <c r="Z39" s="216">
        <v>46</v>
      </c>
      <c r="AA39" s="216">
        <v>516</v>
      </c>
      <c r="AB39" s="216">
        <v>344</v>
      </c>
      <c r="AC39" s="216">
        <v>171</v>
      </c>
      <c r="AD39" s="216">
        <v>103</v>
      </c>
      <c r="AE39" s="216">
        <v>11</v>
      </c>
      <c r="AF39" s="216">
        <v>0</v>
      </c>
      <c r="AG39" s="216">
        <v>52</v>
      </c>
      <c r="AH39" s="216">
        <v>20</v>
      </c>
      <c r="AI39" s="216">
        <v>23</v>
      </c>
      <c r="AJ39" s="216">
        <v>464</v>
      </c>
      <c r="AK39" s="216">
        <v>31</v>
      </c>
      <c r="AL39" s="130"/>
      <c r="AM39" s="130"/>
      <c r="AN39" s="218"/>
      <c r="AS39" s="1">
        <f t="shared" si="10"/>
        <v>697</v>
      </c>
      <c r="AT39" s="1">
        <f t="shared" si="11"/>
        <v>1985.0000000000002</v>
      </c>
      <c r="AU39" s="1">
        <f t="shared" si="12"/>
        <v>2478</v>
      </c>
      <c r="AV39" s="1">
        <f t="shared" si="13"/>
        <v>1781</v>
      </c>
    </row>
    <row r="40" spans="1:54" ht="14" customHeight="1">
      <c r="A40" s="14" t="s">
        <v>425</v>
      </c>
      <c r="B40" s="8" t="s">
        <v>429</v>
      </c>
      <c r="C40" s="8" t="str">
        <f t="shared" si="8"/>
        <v>Indonesiakh.br.as.idn.03</v>
      </c>
      <c r="D40" s="8" t="s">
        <v>478</v>
      </c>
      <c r="E40" s="8" t="s">
        <v>479</v>
      </c>
      <c r="F40" s="19">
        <v>46651</v>
      </c>
      <c r="G40" s="19">
        <v>46766</v>
      </c>
      <c r="H40" s="186" t="s">
        <v>226</v>
      </c>
      <c r="I40" s="8" t="s">
        <v>254</v>
      </c>
      <c r="J40" s="8" t="s">
        <v>7</v>
      </c>
      <c r="K40" s="293">
        <f t="shared" si="31"/>
        <v>84</v>
      </c>
      <c r="L40" s="18">
        <f t="shared" si="32"/>
        <v>239.06666666666666</v>
      </c>
      <c r="M40" s="2">
        <f t="shared" si="18"/>
        <v>298.53333333333336</v>
      </c>
      <c r="N40" s="200">
        <f t="shared" si="17"/>
        <v>214.8</v>
      </c>
      <c r="O40" s="135"/>
      <c r="P40" s="214"/>
      <c r="Q40" s="229">
        <v>630</v>
      </c>
      <c r="R40" s="216">
        <v>1679</v>
      </c>
      <c r="S40" s="216">
        <v>114</v>
      </c>
      <c r="T40" s="216">
        <v>1547</v>
      </c>
      <c r="U40" s="216">
        <v>13</v>
      </c>
      <c r="V40" s="216">
        <v>198</v>
      </c>
      <c r="W40" s="216">
        <v>200</v>
      </c>
      <c r="X40" s="216">
        <v>120</v>
      </c>
      <c r="Y40" s="216">
        <v>161</v>
      </c>
      <c r="Z40" s="216">
        <v>42</v>
      </c>
      <c r="AA40" s="216">
        <v>466</v>
      </c>
      <c r="AB40" s="216">
        <v>311</v>
      </c>
      <c r="AC40" s="216">
        <v>155</v>
      </c>
      <c r="AD40" s="216">
        <v>93</v>
      </c>
      <c r="AE40" s="216">
        <v>10</v>
      </c>
      <c r="AF40" s="216">
        <v>0</v>
      </c>
      <c r="AG40" s="216">
        <v>47</v>
      </c>
      <c r="AH40" s="216">
        <v>18</v>
      </c>
      <c r="AI40" s="216">
        <v>21</v>
      </c>
      <c r="AJ40" s="216">
        <v>420</v>
      </c>
      <c r="AK40" s="216">
        <v>28</v>
      </c>
      <c r="AL40" s="130"/>
      <c r="AM40" s="130"/>
      <c r="AN40" s="218"/>
      <c r="AS40" s="1">
        <f t="shared" si="10"/>
        <v>630</v>
      </c>
      <c r="AT40" s="1">
        <f t="shared" si="11"/>
        <v>1793</v>
      </c>
      <c r="AU40" s="1">
        <f t="shared" si="12"/>
        <v>2239</v>
      </c>
      <c r="AV40" s="1">
        <f t="shared" si="13"/>
        <v>1611</v>
      </c>
    </row>
    <row r="41" spans="1:54" ht="14" customHeight="1">
      <c r="A41" s="14" t="s">
        <v>425</v>
      </c>
      <c r="B41" s="8" t="s">
        <v>429</v>
      </c>
      <c r="C41" s="8" t="str">
        <f t="shared" si="8"/>
        <v>Indonesiakh.br.as.idn.02</v>
      </c>
      <c r="D41" s="8" t="s">
        <v>480</v>
      </c>
      <c r="E41" s="8" t="s">
        <v>481</v>
      </c>
      <c r="F41" s="19">
        <v>46659</v>
      </c>
      <c r="G41" s="19">
        <v>46780</v>
      </c>
      <c r="H41" s="186" t="s">
        <v>226</v>
      </c>
      <c r="I41" s="8" t="s">
        <v>254</v>
      </c>
      <c r="J41" s="8" t="s">
        <v>7</v>
      </c>
      <c r="K41" s="293">
        <f t="shared" si="31"/>
        <v>88.8</v>
      </c>
      <c r="L41" s="18">
        <f t="shared" si="32"/>
        <v>252.93333333333334</v>
      </c>
      <c r="M41" s="2">
        <f t="shared" si="18"/>
        <v>315.73333333333335</v>
      </c>
      <c r="N41" s="200">
        <f t="shared" si="17"/>
        <v>227.2</v>
      </c>
      <c r="O41" s="135"/>
      <c r="P41" s="214"/>
      <c r="Q41" s="229">
        <v>666</v>
      </c>
      <c r="R41" s="216">
        <v>1776</v>
      </c>
      <c r="S41" s="216">
        <v>121</v>
      </c>
      <c r="T41" s="216">
        <v>1636</v>
      </c>
      <c r="U41" s="216">
        <v>14</v>
      </c>
      <c r="V41" s="216">
        <v>209</v>
      </c>
      <c r="W41" s="216">
        <v>211</v>
      </c>
      <c r="X41" s="216">
        <v>127</v>
      </c>
      <c r="Y41" s="216">
        <v>171</v>
      </c>
      <c r="Z41" s="216">
        <v>44</v>
      </c>
      <c r="AA41" s="216">
        <v>493</v>
      </c>
      <c r="AB41" s="216">
        <v>329</v>
      </c>
      <c r="AC41" s="216">
        <v>164</v>
      </c>
      <c r="AD41" s="216">
        <v>99</v>
      </c>
      <c r="AE41" s="216">
        <v>11</v>
      </c>
      <c r="AF41" s="216">
        <v>0</v>
      </c>
      <c r="AG41" s="216">
        <v>49</v>
      </c>
      <c r="AH41" s="216">
        <v>19</v>
      </c>
      <c r="AI41" s="216">
        <v>22</v>
      </c>
      <c r="AJ41" s="216">
        <v>444</v>
      </c>
      <c r="AK41" s="216">
        <v>30</v>
      </c>
      <c r="AL41" s="130"/>
      <c r="AM41" s="130"/>
      <c r="AN41" s="218"/>
      <c r="AS41" s="1">
        <f t="shared" si="10"/>
        <v>666</v>
      </c>
      <c r="AT41" s="1">
        <f t="shared" si="11"/>
        <v>1897</v>
      </c>
      <c r="AU41" s="1">
        <f t="shared" si="12"/>
        <v>2368</v>
      </c>
      <c r="AV41" s="1">
        <f t="shared" si="13"/>
        <v>1704</v>
      </c>
    </row>
    <row r="42" spans="1:54" ht="14" customHeight="1">
      <c r="A42" s="14" t="s">
        <v>425</v>
      </c>
      <c r="B42" s="8" t="s">
        <v>430</v>
      </c>
      <c r="C42" s="8" t="str">
        <f t="shared" si="8"/>
        <v>Indonesiakh.br.as.idn.07</v>
      </c>
      <c r="D42" s="8" t="s">
        <v>482</v>
      </c>
      <c r="E42" s="8" t="s">
        <v>483</v>
      </c>
      <c r="F42" s="19">
        <v>46663</v>
      </c>
      <c r="G42" s="19">
        <v>46794</v>
      </c>
      <c r="H42" s="186" t="s">
        <v>226</v>
      </c>
      <c r="I42" s="8" t="s">
        <v>254</v>
      </c>
      <c r="J42" s="8" t="s">
        <v>7</v>
      </c>
      <c r="K42" s="293">
        <f t="shared" si="31"/>
        <v>48.533333333333331</v>
      </c>
      <c r="L42" s="18">
        <f t="shared" si="32"/>
        <v>138.13333333333333</v>
      </c>
      <c r="M42" s="2">
        <f t="shared" si="18"/>
        <v>172.4</v>
      </c>
      <c r="N42" s="200">
        <f t="shared" si="17"/>
        <v>124.13333333333334</v>
      </c>
      <c r="O42" s="135"/>
      <c r="P42" s="214"/>
      <c r="Q42" s="229">
        <v>364</v>
      </c>
      <c r="R42" s="216">
        <v>970</v>
      </c>
      <c r="S42" s="216">
        <v>66</v>
      </c>
      <c r="T42" s="216">
        <v>894</v>
      </c>
      <c r="U42" s="216">
        <v>8</v>
      </c>
      <c r="V42" s="216">
        <v>114</v>
      </c>
      <c r="W42" s="216">
        <v>115</v>
      </c>
      <c r="X42" s="216">
        <v>69</v>
      </c>
      <c r="Y42" s="216">
        <v>93</v>
      </c>
      <c r="Z42" s="216">
        <v>24</v>
      </c>
      <c r="AA42" s="216">
        <v>269</v>
      </c>
      <c r="AB42" s="216">
        <v>180</v>
      </c>
      <c r="AC42" s="216">
        <v>89</v>
      </c>
      <c r="AD42" s="216">
        <v>54</v>
      </c>
      <c r="AE42" s="216">
        <v>6</v>
      </c>
      <c r="AF42" s="216">
        <v>0</v>
      </c>
      <c r="AG42" s="216">
        <v>27</v>
      </c>
      <c r="AH42" s="216">
        <v>11</v>
      </c>
      <c r="AI42" s="216">
        <v>12</v>
      </c>
      <c r="AJ42" s="216">
        <v>243</v>
      </c>
      <c r="AK42" s="216">
        <v>16</v>
      </c>
      <c r="AL42" s="130"/>
      <c r="AM42" s="130"/>
      <c r="AN42" s="218"/>
      <c r="AS42" s="1">
        <f t="shared" si="10"/>
        <v>364</v>
      </c>
      <c r="AT42" s="1">
        <f t="shared" si="11"/>
        <v>1036</v>
      </c>
      <c r="AU42" s="1">
        <f t="shared" si="12"/>
        <v>1293</v>
      </c>
      <c r="AV42" s="1">
        <f t="shared" si="13"/>
        <v>931</v>
      </c>
    </row>
    <row r="43" spans="1:54" ht="14" customHeight="1">
      <c r="A43" s="14" t="s">
        <v>425</v>
      </c>
      <c r="B43" s="8" t="s">
        <v>430</v>
      </c>
      <c r="C43" s="8" t="str">
        <f t="shared" si="8"/>
        <v>Indonesiakh.br.as.idn.06</v>
      </c>
      <c r="D43" s="8" t="s">
        <v>484</v>
      </c>
      <c r="E43" s="8" t="s">
        <v>485</v>
      </c>
      <c r="F43" s="19">
        <v>46666</v>
      </c>
      <c r="G43" s="19">
        <v>46805</v>
      </c>
      <c r="H43" s="186" t="s">
        <v>226</v>
      </c>
      <c r="I43" s="8" t="s">
        <v>254</v>
      </c>
      <c r="J43" s="8" t="s">
        <v>7</v>
      </c>
      <c r="K43" s="293">
        <f t="shared" si="31"/>
        <v>51.2</v>
      </c>
      <c r="L43" s="18">
        <f t="shared" si="32"/>
        <v>146</v>
      </c>
      <c r="M43" s="2">
        <f t="shared" si="18"/>
        <v>182.26666666666668</v>
      </c>
      <c r="N43" s="200">
        <f t="shared" si="17"/>
        <v>131.06666666666666</v>
      </c>
      <c r="O43" s="135"/>
      <c r="P43" s="214"/>
      <c r="Q43" s="229">
        <v>384</v>
      </c>
      <c r="R43" s="216">
        <v>1025</v>
      </c>
      <c r="S43" s="216">
        <v>70</v>
      </c>
      <c r="T43" s="216">
        <v>944</v>
      </c>
      <c r="U43" s="216">
        <v>8</v>
      </c>
      <c r="V43" s="216">
        <v>121</v>
      </c>
      <c r="W43" s="216">
        <v>122</v>
      </c>
      <c r="X43" s="216">
        <v>73</v>
      </c>
      <c r="Y43" s="216">
        <v>99</v>
      </c>
      <c r="Z43" s="216">
        <v>26</v>
      </c>
      <c r="AA43" s="216">
        <v>285</v>
      </c>
      <c r="AB43" s="216">
        <v>190</v>
      </c>
      <c r="AC43" s="216">
        <v>94</v>
      </c>
      <c r="AD43" s="216">
        <v>57</v>
      </c>
      <c r="AE43" s="216">
        <v>6</v>
      </c>
      <c r="AF43" s="216">
        <v>0</v>
      </c>
      <c r="AG43" s="216">
        <v>28</v>
      </c>
      <c r="AH43" s="216">
        <v>11</v>
      </c>
      <c r="AI43" s="216">
        <v>13</v>
      </c>
      <c r="AJ43" s="216">
        <v>256</v>
      </c>
      <c r="AK43" s="216">
        <v>17</v>
      </c>
      <c r="AL43" s="130"/>
      <c r="AM43" s="130"/>
      <c r="AN43" s="218"/>
      <c r="AS43" s="1">
        <f t="shared" si="10"/>
        <v>384</v>
      </c>
      <c r="AT43" s="1">
        <f t="shared" si="11"/>
        <v>1095</v>
      </c>
      <c r="AU43" s="1">
        <f t="shared" si="12"/>
        <v>1367</v>
      </c>
      <c r="AV43" s="1">
        <f t="shared" si="13"/>
        <v>983</v>
      </c>
    </row>
    <row r="44" spans="1:54" ht="14" customHeight="1">
      <c r="A44" s="14" t="s">
        <v>425</v>
      </c>
      <c r="B44" s="8" t="s">
        <v>431</v>
      </c>
      <c r="C44" s="8" t="str">
        <f t="shared" si="8"/>
        <v>Indonesiakh.br.as.idn.09</v>
      </c>
      <c r="D44" s="8" t="s">
        <v>486</v>
      </c>
      <c r="E44" s="8" t="s">
        <v>487</v>
      </c>
      <c r="F44" s="19">
        <v>46674</v>
      </c>
      <c r="G44" s="19">
        <v>46815</v>
      </c>
      <c r="H44" s="186" t="s">
        <v>226</v>
      </c>
      <c r="I44" s="8" t="s">
        <v>254</v>
      </c>
      <c r="J44" s="8" t="s">
        <v>7</v>
      </c>
      <c r="K44" s="293">
        <f t="shared" si="31"/>
        <v>63.333333333333336</v>
      </c>
      <c r="L44" s="18">
        <f t="shared" si="32"/>
        <v>180.53333333333333</v>
      </c>
      <c r="M44" s="2">
        <f t="shared" si="18"/>
        <v>225.33333333333334</v>
      </c>
      <c r="N44" s="200">
        <f t="shared" si="17"/>
        <v>162.26666666666668</v>
      </c>
      <c r="O44" s="135"/>
      <c r="P44" s="214"/>
      <c r="Q44" s="229">
        <v>475</v>
      </c>
      <c r="R44" s="216">
        <v>1268</v>
      </c>
      <c r="S44" s="216">
        <v>86</v>
      </c>
      <c r="T44" s="216">
        <v>1167</v>
      </c>
      <c r="U44" s="216">
        <v>10</v>
      </c>
      <c r="V44" s="216">
        <v>149</v>
      </c>
      <c r="W44" s="216">
        <v>151</v>
      </c>
      <c r="X44" s="216">
        <v>91</v>
      </c>
      <c r="Y44" s="216">
        <v>122</v>
      </c>
      <c r="Z44" s="216">
        <v>32</v>
      </c>
      <c r="AA44" s="216">
        <v>352</v>
      </c>
      <c r="AB44" s="216">
        <v>235</v>
      </c>
      <c r="AC44" s="216">
        <v>117</v>
      </c>
      <c r="AD44" s="216">
        <v>70</v>
      </c>
      <c r="AE44" s="216">
        <v>8</v>
      </c>
      <c r="AF44" s="216">
        <v>0</v>
      </c>
      <c r="AG44" s="216">
        <v>35</v>
      </c>
      <c r="AH44" s="216">
        <v>14</v>
      </c>
      <c r="AI44" s="216">
        <v>16</v>
      </c>
      <c r="AJ44" s="216">
        <v>317</v>
      </c>
      <c r="AK44" s="216">
        <v>21</v>
      </c>
      <c r="AL44" s="130"/>
      <c r="AM44" s="130"/>
      <c r="AN44" s="218"/>
      <c r="AS44" s="1">
        <f t="shared" si="10"/>
        <v>475</v>
      </c>
      <c r="AT44" s="1">
        <f t="shared" si="11"/>
        <v>1354</v>
      </c>
      <c r="AU44" s="1">
        <f t="shared" si="12"/>
        <v>1690</v>
      </c>
      <c r="AV44" s="1">
        <f t="shared" si="13"/>
        <v>1217</v>
      </c>
    </row>
    <row r="45" spans="1:54" ht="14" customHeight="1">
      <c r="A45" s="14" t="s">
        <v>425</v>
      </c>
      <c r="B45" s="8" t="s">
        <v>431</v>
      </c>
      <c r="C45" s="8" t="str">
        <f t="shared" si="8"/>
        <v>Indonesiakh.br.as.idn.08</v>
      </c>
      <c r="D45" s="8" t="s">
        <v>488</v>
      </c>
      <c r="E45" s="8" t="s">
        <v>489</v>
      </c>
      <c r="F45" s="19">
        <v>46684</v>
      </c>
      <c r="G45" s="19">
        <v>46835</v>
      </c>
      <c r="H45" s="186" t="s">
        <v>226</v>
      </c>
      <c r="I45" s="8" t="s">
        <v>254</v>
      </c>
      <c r="J45" s="8" t="s">
        <v>7</v>
      </c>
      <c r="K45" s="293">
        <f t="shared" si="31"/>
        <v>71.466666666666669</v>
      </c>
      <c r="L45" s="18">
        <f t="shared" si="32"/>
        <v>203.46666666666667</v>
      </c>
      <c r="M45" s="2">
        <f t="shared" si="18"/>
        <v>253.86666666666667</v>
      </c>
      <c r="N45" s="200">
        <f t="shared" si="17"/>
        <v>183.06666666666666</v>
      </c>
      <c r="O45" s="135"/>
      <c r="P45" s="214"/>
      <c r="Q45" s="229">
        <v>536</v>
      </c>
      <c r="R45" s="216">
        <v>1429</v>
      </c>
      <c r="S45" s="216">
        <v>97</v>
      </c>
      <c r="T45" s="216">
        <v>1316</v>
      </c>
      <c r="U45" s="216">
        <v>11</v>
      </c>
      <c r="V45" s="216">
        <v>168</v>
      </c>
      <c r="W45" s="216">
        <v>170</v>
      </c>
      <c r="X45" s="216">
        <v>102</v>
      </c>
      <c r="Y45" s="216">
        <v>137</v>
      </c>
      <c r="Z45" s="216">
        <v>36</v>
      </c>
      <c r="AA45" s="216">
        <v>397</v>
      </c>
      <c r="AB45" s="216">
        <v>265</v>
      </c>
      <c r="AC45" s="216">
        <v>132</v>
      </c>
      <c r="AD45" s="216">
        <v>79</v>
      </c>
      <c r="AE45" s="216">
        <v>9</v>
      </c>
      <c r="AF45" s="216">
        <v>0</v>
      </c>
      <c r="AG45" s="216">
        <v>40</v>
      </c>
      <c r="AH45" s="216">
        <v>16</v>
      </c>
      <c r="AI45" s="216">
        <v>18</v>
      </c>
      <c r="AJ45" s="216">
        <v>357</v>
      </c>
      <c r="AK45" s="216">
        <v>24</v>
      </c>
      <c r="AL45" s="130"/>
      <c r="AM45" s="130"/>
      <c r="AN45" s="218"/>
      <c r="AS45" s="1">
        <f t="shared" si="10"/>
        <v>536</v>
      </c>
      <c r="AT45" s="1">
        <f t="shared" si="11"/>
        <v>1526</v>
      </c>
      <c r="AU45" s="1">
        <f t="shared" si="12"/>
        <v>1904</v>
      </c>
      <c r="AV45" s="1">
        <f t="shared" si="13"/>
        <v>1373</v>
      </c>
    </row>
    <row r="46" spans="1:54" ht="14" customHeight="1">
      <c r="A46" s="14" t="s">
        <v>425</v>
      </c>
      <c r="B46" s="8" t="s">
        <v>431</v>
      </c>
      <c r="C46" s="8" t="str">
        <f t="shared" si="8"/>
        <v>Indonesiakh.br.as.idn.10_A</v>
      </c>
      <c r="D46" s="8" t="s">
        <v>490</v>
      </c>
      <c r="E46" s="8" t="s">
        <v>491</v>
      </c>
      <c r="F46" s="19">
        <v>46703</v>
      </c>
      <c r="G46" s="19">
        <v>46851</v>
      </c>
      <c r="H46" s="186" t="s">
        <v>226</v>
      </c>
      <c r="I46" s="8" t="s">
        <v>254</v>
      </c>
      <c r="J46" s="8" t="s">
        <v>7</v>
      </c>
      <c r="K46" s="293">
        <f t="shared" si="31"/>
        <v>103.6</v>
      </c>
      <c r="L46" s="18">
        <f t="shared" si="32"/>
        <v>294.93333333333334</v>
      </c>
      <c r="M46" s="2">
        <f t="shared" si="18"/>
        <v>368</v>
      </c>
      <c r="N46" s="200">
        <f t="shared" si="17"/>
        <v>265.06666666666666</v>
      </c>
      <c r="O46" s="135"/>
      <c r="P46" s="214"/>
      <c r="Q46" s="229">
        <v>777</v>
      </c>
      <c r="R46" s="216">
        <v>2071</v>
      </c>
      <c r="S46" s="216">
        <v>141</v>
      </c>
      <c r="T46" s="216">
        <v>1907</v>
      </c>
      <c r="U46" s="216">
        <v>16</v>
      </c>
      <c r="V46" s="216">
        <v>244</v>
      </c>
      <c r="W46" s="216">
        <v>246</v>
      </c>
      <c r="X46" s="216">
        <v>148</v>
      </c>
      <c r="Y46" s="216">
        <v>199</v>
      </c>
      <c r="Z46" s="216">
        <v>52</v>
      </c>
      <c r="AA46" s="216">
        <v>575</v>
      </c>
      <c r="AB46" s="216">
        <v>383</v>
      </c>
      <c r="AC46" s="216">
        <v>191</v>
      </c>
      <c r="AD46" s="216">
        <v>115</v>
      </c>
      <c r="AE46" s="216">
        <v>12</v>
      </c>
      <c r="AF46" s="216">
        <v>0</v>
      </c>
      <c r="AG46" s="216">
        <v>58</v>
      </c>
      <c r="AH46" s="216">
        <v>23</v>
      </c>
      <c r="AI46" s="216">
        <v>26</v>
      </c>
      <c r="AJ46" s="216">
        <v>518</v>
      </c>
      <c r="AK46" s="216">
        <v>35</v>
      </c>
      <c r="AL46" s="130"/>
      <c r="AM46" s="130"/>
      <c r="AN46" s="218"/>
      <c r="AS46" s="1">
        <f t="shared" si="10"/>
        <v>777</v>
      </c>
      <c r="AT46" s="1">
        <f t="shared" si="11"/>
        <v>2212</v>
      </c>
      <c r="AU46" s="1">
        <f t="shared" si="12"/>
        <v>2760</v>
      </c>
      <c r="AV46" s="1">
        <f t="shared" si="13"/>
        <v>1988</v>
      </c>
    </row>
    <row r="47" spans="1:54" ht="14" customHeight="1">
      <c r="A47" s="14" t="s">
        <v>425</v>
      </c>
      <c r="B47" s="8" t="s">
        <v>431</v>
      </c>
      <c r="C47" s="8" t="str">
        <f t="shared" si="8"/>
        <v>Indonesiakh.br.as.idn.12_C</v>
      </c>
      <c r="D47" s="8" t="s">
        <v>492</v>
      </c>
      <c r="E47" s="8" t="s">
        <v>493</v>
      </c>
      <c r="F47" s="19">
        <v>46720</v>
      </c>
      <c r="G47" s="19">
        <v>46867</v>
      </c>
      <c r="H47" s="186" t="s">
        <v>226</v>
      </c>
      <c r="I47" s="8" t="s">
        <v>254</v>
      </c>
      <c r="J47" s="8" t="s">
        <v>7</v>
      </c>
      <c r="K47" s="293">
        <f t="shared" si="31"/>
        <v>84.266666666666666</v>
      </c>
      <c r="L47" s="18">
        <f t="shared" si="32"/>
        <v>239.86666666666667</v>
      </c>
      <c r="M47" s="2">
        <f t="shared" si="18"/>
        <v>299.33333333333331</v>
      </c>
      <c r="N47" s="200">
        <f t="shared" si="17"/>
        <v>215.46666666666667</v>
      </c>
      <c r="O47" s="135"/>
      <c r="P47" s="214"/>
      <c r="Q47" s="229">
        <v>632</v>
      </c>
      <c r="R47" s="216">
        <v>1684</v>
      </c>
      <c r="S47" s="216">
        <v>115</v>
      </c>
      <c r="T47" s="216">
        <v>1551</v>
      </c>
      <c r="U47" s="216">
        <v>13</v>
      </c>
      <c r="V47" s="216">
        <v>198</v>
      </c>
      <c r="W47" s="216">
        <v>201</v>
      </c>
      <c r="X47" s="216">
        <v>120</v>
      </c>
      <c r="Y47" s="216">
        <v>162</v>
      </c>
      <c r="Z47" s="216">
        <v>42</v>
      </c>
      <c r="AA47" s="216">
        <v>468</v>
      </c>
      <c r="AB47" s="216">
        <v>312</v>
      </c>
      <c r="AC47" s="216">
        <v>155</v>
      </c>
      <c r="AD47" s="216">
        <v>94</v>
      </c>
      <c r="AE47" s="216">
        <v>10</v>
      </c>
      <c r="AF47" s="216">
        <v>0</v>
      </c>
      <c r="AG47" s="216">
        <v>47</v>
      </c>
      <c r="AH47" s="216">
        <v>18</v>
      </c>
      <c r="AI47" s="216">
        <v>21</v>
      </c>
      <c r="AJ47" s="216">
        <v>421</v>
      </c>
      <c r="AK47" s="216">
        <v>28</v>
      </c>
      <c r="AL47" s="130"/>
      <c r="AM47" s="130"/>
      <c r="AN47" s="218"/>
      <c r="AS47" s="1">
        <f t="shared" si="10"/>
        <v>632</v>
      </c>
      <c r="AT47" s="1">
        <f t="shared" si="11"/>
        <v>1799</v>
      </c>
      <c r="AU47" s="1">
        <f t="shared" si="12"/>
        <v>2245</v>
      </c>
      <c r="AV47" s="1">
        <f t="shared" si="13"/>
        <v>1616</v>
      </c>
    </row>
    <row r="48" spans="1:54" ht="14" customHeight="1">
      <c r="A48" s="14" t="s">
        <v>425</v>
      </c>
      <c r="B48" s="8" t="s">
        <v>431</v>
      </c>
      <c r="C48" s="8" t="str">
        <f t="shared" si="8"/>
        <v>Indonesiakh.br.as.idn.11_C</v>
      </c>
      <c r="D48" s="8" t="s">
        <v>494</v>
      </c>
      <c r="E48" s="8" t="s">
        <v>495</v>
      </c>
      <c r="F48" s="19">
        <v>46738</v>
      </c>
      <c r="G48" s="19">
        <v>46880</v>
      </c>
      <c r="H48" s="186" t="s">
        <v>226</v>
      </c>
      <c r="I48" s="8" t="s">
        <v>254</v>
      </c>
      <c r="J48" s="8" t="s">
        <v>7</v>
      </c>
      <c r="K48" s="293">
        <f t="shared" si="31"/>
        <v>64.400000000000006</v>
      </c>
      <c r="L48" s="18">
        <f t="shared" si="32"/>
        <v>183.33333333333334</v>
      </c>
      <c r="M48" s="2">
        <f t="shared" si="18"/>
        <v>228.66666666666666</v>
      </c>
      <c r="N48" s="200">
        <f t="shared" si="17"/>
        <v>164.53333333333333</v>
      </c>
      <c r="O48" s="135"/>
      <c r="P48" s="214"/>
      <c r="Q48" s="229">
        <v>483</v>
      </c>
      <c r="R48" s="216">
        <v>1287</v>
      </c>
      <c r="S48" s="216">
        <v>88</v>
      </c>
      <c r="T48" s="216">
        <v>1185</v>
      </c>
      <c r="U48" s="216">
        <v>10</v>
      </c>
      <c r="V48" s="216">
        <v>151</v>
      </c>
      <c r="W48" s="216">
        <v>153</v>
      </c>
      <c r="X48" s="216">
        <v>92</v>
      </c>
      <c r="Y48" s="216">
        <v>124</v>
      </c>
      <c r="Z48" s="216">
        <v>32</v>
      </c>
      <c r="AA48" s="216">
        <v>357</v>
      </c>
      <c r="AB48" s="216">
        <v>238</v>
      </c>
      <c r="AC48" s="216">
        <v>119</v>
      </c>
      <c r="AD48" s="216">
        <v>71</v>
      </c>
      <c r="AE48" s="216">
        <v>8</v>
      </c>
      <c r="AF48" s="216">
        <v>0</v>
      </c>
      <c r="AG48" s="216">
        <v>36</v>
      </c>
      <c r="AH48" s="216">
        <v>14</v>
      </c>
      <c r="AI48" s="216">
        <v>16</v>
      </c>
      <c r="AJ48" s="216">
        <v>322</v>
      </c>
      <c r="AK48" s="216">
        <v>21</v>
      </c>
      <c r="AL48" s="130"/>
      <c r="AM48" s="130"/>
      <c r="AN48" s="218"/>
      <c r="AS48" s="1">
        <f t="shared" si="10"/>
        <v>483.00000000000006</v>
      </c>
      <c r="AT48" s="1">
        <f t="shared" si="11"/>
        <v>1375</v>
      </c>
      <c r="AU48" s="1">
        <f t="shared" si="12"/>
        <v>1715</v>
      </c>
      <c r="AV48" s="1">
        <f t="shared" si="13"/>
        <v>1234</v>
      </c>
    </row>
    <row r="49" spans="1:48" ht="14" customHeight="1">
      <c r="A49" s="14" t="s">
        <v>425</v>
      </c>
      <c r="B49" s="8" t="s">
        <v>431</v>
      </c>
      <c r="C49" s="8" t="str">
        <f t="shared" si="8"/>
        <v>Indonesiakh.br.as.idn.12_B</v>
      </c>
      <c r="D49" s="8" t="s">
        <v>496</v>
      </c>
      <c r="E49" s="8" t="s">
        <v>497</v>
      </c>
      <c r="F49" s="19">
        <v>46759</v>
      </c>
      <c r="G49" s="19">
        <v>46891</v>
      </c>
      <c r="H49" s="186" t="s">
        <v>226</v>
      </c>
      <c r="I49" s="8" t="s">
        <v>254</v>
      </c>
      <c r="J49" s="8" t="s">
        <v>7</v>
      </c>
      <c r="K49" s="293">
        <f t="shared" si="31"/>
        <v>83.333333333333329</v>
      </c>
      <c r="L49" s="18">
        <f t="shared" si="32"/>
        <v>237.46666666666667</v>
      </c>
      <c r="M49" s="2">
        <f t="shared" si="18"/>
        <v>296.26666666666665</v>
      </c>
      <c r="N49" s="200">
        <f t="shared" si="17"/>
        <v>213.46666666666667</v>
      </c>
      <c r="O49" s="135"/>
      <c r="P49" s="214"/>
      <c r="Q49" s="229">
        <v>625</v>
      </c>
      <c r="R49" s="216">
        <v>1667</v>
      </c>
      <c r="S49" s="216">
        <v>114</v>
      </c>
      <c r="T49" s="216">
        <v>1536</v>
      </c>
      <c r="U49" s="216">
        <v>13</v>
      </c>
      <c r="V49" s="216">
        <v>196</v>
      </c>
      <c r="W49" s="216">
        <v>198</v>
      </c>
      <c r="X49" s="216">
        <v>119</v>
      </c>
      <c r="Y49" s="216">
        <v>160</v>
      </c>
      <c r="Z49" s="216">
        <v>42</v>
      </c>
      <c r="AA49" s="216">
        <v>463</v>
      </c>
      <c r="AB49" s="216">
        <v>309</v>
      </c>
      <c r="AC49" s="216">
        <v>154</v>
      </c>
      <c r="AD49" s="216">
        <v>93</v>
      </c>
      <c r="AE49" s="216">
        <v>10</v>
      </c>
      <c r="AF49" s="216">
        <v>0</v>
      </c>
      <c r="AG49" s="216">
        <v>46</v>
      </c>
      <c r="AH49" s="216">
        <v>18</v>
      </c>
      <c r="AI49" s="216">
        <v>21</v>
      </c>
      <c r="AJ49" s="216">
        <v>417</v>
      </c>
      <c r="AK49" s="216">
        <v>28</v>
      </c>
      <c r="AL49" s="130"/>
      <c r="AM49" s="130"/>
      <c r="AN49" s="218"/>
      <c r="AS49" s="1">
        <f t="shared" si="10"/>
        <v>625</v>
      </c>
      <c r="AT49" s="1">
        <f t="shared" si="11"/>
        <v>1781</v>
      </c>
      <c r="AU49" s="1">
        <f t="shared" si="12"/>
        <v>2222</v>
      </c>
      <c r="AV49" s="1">
        <f t="shared" si="13"/>
        <v>1601</v>
      </c>
    </row>
    <row r="50" spans="1:48" ht="14" customHeight="1">
      <c r="A50" s="14" t="s">
        <v>425</v>
      </c>
      <c r="B50" s="8" t="s">
        <v>431</v>
      </c>
      <c r="C50" s="8" t="str">
        <f t="shared" si="8"/>
        <v>Indonesiakh.br.as.idn.11_B</v>
      </c>
      <c r="D50" s="8" t="s">
        <v>498</v>
      </c>
      <c r="E50" s="8" t="s">
        <v>499</v>
      </c>
      <c r="F50" s="19">
        <v>46775</v>
      </c>
      <c r="G50" s="19">
        <v>46901</v>
      </c>
      <c r="H50" s="186" t="s">
        <v>226</v>
      </c>
      <c r="I50" s="8" t="s">
        <v>254</v>
      </c>
      <c r="J50" s="8" t="s">
        <v>7</v>
      </c>
      <c r="K50" s="293">
        <f t="shared" si="31"/>
        <v>67.86666666666666</v>
      </c>
      <c r="L50" s="18">
        <f t="shared" si="32"/>
        <v>193.2</v>
      </c>
      <c r="M50" s="2">
        <f t="shared" si="18"/>
        <v>241.33333333333334</v>
      </c>
      <c r="N50" s="200">
        <f t="shared" si="17"/>
        <v>173.6</v>
      </c>
      <c r="O50" s="135"/>
      <c r="P50" s="214"/>
      <c r="Q50" s="229">
        <v>509</v>
      </c>
      <c r="R50" s="216">
        <v>1357</v>
      </c>
      <c r="S50" s="216">
        <v>92</v>
      </c>
      <c r="T50" s="216">
        <v>1250</v>
      </c>
      <c r="U50" s="216">
        <v>11</v>
      </c>
      <c r="V50" s="216">
        <v>160</v>
      </c>
      <c r="W50" s="216">
        <v>162</v>
      </c>
      <c r="X50" s="216">
        <v>97</v>
      </c>
      <c r="Y50" s="216">
        <v>130</v>
      </c>
      <c r="Z50" s="216">
        <v>34</v>
      </c>
      <c r="AA50" s="216">
        <v>377</v>
      </c>
      <c r="AB50" s="216">
        <v>251</v>
      </c>
      <c r="AC50" s="216">
        <v>125</v>
      </c>
      <c r="AD50" s="216">
        <v>75</v>
      </c>
      <c r="AE50" s="216">
        <v>8</v>
      </c>
      <c r="AF50" s="216">
        <v>0</v>
      </c>
      <c r="AG50" s="216">
        <v>38</v>
      </c>
      <c r="AH50" s="216">
        <v>15</v>
      </c>
      <c r="AI50" s="216">
        <v>17</v>
      </c>
      <c r="AJ50" s="216">
        <v>339</v>
      </c>
      <c r="AK50" s="216">
        <v>23</v>
      </c>
      <c r="AL50" s="130"/>
      <c r="AM50" s="130"/>
      <c r="AN50" s="218"/>
      <c r="AS50" s="1">
        <f t="shared" si="10"/>
        <v>508.99999999999994</v>
      </c>
      <c r="AT50" s="1">
        <f t="shared" si="11"/>
        <v>1449</v>
      </c>
      <c r="AU50" s="1">
        <f t="shared" si="12"/>
        <v>1810</v>
      </c>
      <c r="AV50" s="1">
        <f t="shared" si="13"/>
        <v>1302</v>
      </c>
    </row>
    <row r="51" spans="1:48" ht="14" customHeight="1">
      <c r="A51" s="14" t="s">
        <v>425</v>
      </c>
      <c r="B51" s="8" t="s">
        <v>431</v>
      </c>
      <c r="C51" s="8" t="str">
        <f t="shared" si="8"/>
        <v>Indonesiakh.br.as.idn.12_A</v>
      </c>
      <c r="D51" s="8" t="s">
        <v>500</v>
      </c>
      <c r="E51" s="8" t="s">
        <v>501</v>
      </c>
      <c r="F51" s="19">
        <v>46791</v>
      </c>
      <c r="G51" s="19">
        <v>46914</v>
      </c>
      <c r="H51" s="186" t="s">
        <v>226</v>
      </c>
      <c r="I51" s="8" t="s">
        <v>254</v>
      </c>
      <c r="J51" s="8" t="s">
        <v>7</v>
      </c>
      <c r="K51" s="293">
        <f t="shared" si="31"/>
        <v>76.400000000000006</v>
      </c>
      <c r="L51" s="18">
        <f t="shared" si="32"/>
        <v>217.6</v>
      </c>
      <c r="M51" s="2">
        <f t="shared" si="18"/>
        <v>271.73333333333335</v>
      </c>
      <c r="N51" s="200">
        <f t="shared" si="17"/>
        <v>195.46666666666667</v>
      </c>
      <c r="O51" s="135"/>
      <c r="P51" s="214"/>
      <c r="Q51" s="229">
        <v>573</v>
      </c>
      <c r="R51" s="216">
        <v>1528</v>
      </c>
      <c r="S51" s="216">
        <v>104</v>
      </c>
      <c r="T51" s="216">
        <v>1408</v>
      </c>
      <c r="U51" s="216">
        <v>12</v>
      </c>
      <c r="V51" s="216">
        <v>180</v>
      </c>
      <c r="W51" s="216">
        <v>182</v>
      </c>
      <c r="X51" s="216">
        <v>109</v>
      </c>
      <c r="Y51" s="216">
        <v>147</v>
      </c>
      <c r="Z51" s="216">
        <v>38</v>
      </c>
      <c r="AA51" s="216">
        <v>425</v>
      </c>
      <c r="AB51" s="216">
        <v>283</v>
      </c>
      <c r="AC51" s="216">
        <v>141</v>
      </c>
      <c r="AD51" s="216">
        <v>85</v>
      </c>
      <c r="AE51" s="216">
        <v>9</v>
      </c>
      <c r="AF51" s="216">
        <v>0</v>
      </c>
      <c r="AG51" s="216">
        <v>42</v>
      </c>
      <c r="AH51" s="216">
        <v>17</v>
      </c>
      <c r="AI51" s="216">
        <v>19</v>
      </c>
      <c r="AJ51" s="216">
        <v>382</v>
      </c>
      <c r="AK51" s="216">
        <v>25</v>
      </c>
      <c r="AL51" s="130"/>
      <c r="AM51" s="130"/>
      <c r="AN51" s="218"/>
      <c r="AS51" s="1">
        <f t="shared" si="10"/>
        <v>573</v>
      </c>
      <c r="AT51" s="1">
        <f t="shared" si="11"/>
        <v>1632</v>
      </c>
      <c r="AU51" s="1">
        <f t="shared" si="12"/>
        <v>2038</v>
      </c>
      <c r="AV51" s="1">
        <f t="shared" si="13"/>
        <v>1466</v>
      </c>
    </row>
    <row r="52" spans="1:48" ht="14" customHeight="1">
      <c r="A52" s="14" t="s">
        <v>425</v>
      </c>
      <c r="B52" s="8" t="s">
        <v>431</v>
      </c>
      <c r="C52" s="8" t="str">
        <f t="shared" si="8"/>
        <v>Indonesiakh.br.as.idn.10_C</v>
      </c>
      <c r="D52" s="8" t="s">
        <v>502</v>
      </c>
      <c r="E52" s="8" t="s">
        <v>503</v>
      </c>
      <c r="F52" s="19">
        <v>46805</v>
      </c>
      <c r="G52" s="19">
        <v>46924</v>
      </c>
      <c r="H52" s="186" t="s">
        <v>226</v>
      </c>
      <c r="I52" s="8" t="s">
        <v>254</v>
      </c>
      <c r="J52" s="8" t="s">
        <v>7</v>
      </c>
      <c r="K52" s="293">
        <f t="shared" si="31"/>
        <v>83.6</v>
      </c>
      <c r="L52" s="18">
        <f t="shared" si="32"/>
        <v>238.13333333333333</v>
      </c>
      <c r="M52" s="2">
        <f t="shared" si="18"/>
        <v>297.2</v>
      </c>
      <c r="N52" s="200">
        <f t="shared" si="17"/>
        <v>213.86666666666667</v>
      </c>
      <c r="O52" s="135"/>
      <c r="P52" s="214"/>
      <c r="Q52" s="229">
        <v>627</v>
      </c>
      <c r="R52" s="216">
        <v>1672</v>
      </c>
      <c r="S52" s="216">
        <v>114</v>
      </c>
      <c r="T52" s="216">
        <v>1540</v>
      </c>
      <c r="U52" s="216">
        <v>13</v>
      </c>
      <c r="V52" s="216">
        <v>197</v>
      </c>
      <c r="W52" s="216">
        <v>199</v>
      </c>
      <c r="X52" s="216">
        <v>119</v>
      </c>
      <c r="Y52" s="216">
        <v>161</v>
      </c>
      <c r="Z52" s="216">
        <v>42</v>
      </c>
      <c r="AA52" s="216">
        <v>464</v>
      </c>
      <c r="AB52" s="216">
        <v>310</v>
      </c>
      <c r="AC52" s="216">
        <v>154</v>
      </c>
      <c r="AD52" s="216">
        <v>93</v>
      </c>
      <c r="AE52" s="216">
        <v>10</v>
      </c>
      <c r="AF52" s="216">
        <v>0</v>
      </c>
      <c r="AG52" s="216">
        <v>46</v>
      </c>
      <c r="AH52" s="216">
        <v>18</v>
      </c>
      <c r="AI52" s="216">
        <v>21</v>
      </c>
      <c r="AJ52" s="216">
        <v>418</v>
      </c>
      <c r="AK52" s="216">
        <v>28</v>
      </c>
      <c r="AL52" s="130"/>
      <c r="AM52" s="130"/>
      <c r="AN52" s="218"/>
      <c r="AS52" s="1">
        <f t="shared" si="10"/>
        <v>627</v>
      </c>
      <c r="AT52" s="1">
        <f t="shared" si="11"/>
        <v>1786</v>
      </c>
      <c r="AU52" s="1">
        <f t="shared" si="12"/>
        <v>2229</v>
      </c>
      <c r="AV52" s="1">
        <f t="shared" si="13"/>
        <v>1604</v>
      </c>
    </row>
    <row r="53" spans="1:48" ht="14" customHeight="1">
      <c r="A53" s="14" t="s">
        <v>425</v>
      </c>
      <c r="B53" s="8" t="s">
        <v>431</v>
      </c>
      <c r="C53" s="8" t="str">
        <f t="shared" si="8"/>
        <v>Indonesiakh.br.as.idn.10_B</v>
      </c>
      <c r="D53" s="8" t="s">
        <v>504</v>
      </c>
      <c r="E53" s="8" t="s">
        <v>505</v>
      </c>
      <c r="F53" s="19">
        <v>46820</v>
      </c>
      <c r="G53" s="19">
        <v>46934</v>
      </c>
      <c r="H53" s="186" t="s">
        <v>226</v>
      </c>
      <c r="I53" s="8" t="s">
        <v>254</v>
      </c>
      <c r="J53" s="8" t="s">
        <v>7</v>
      </c>
      <c r="K53" s="293">
        <f t="shared" si="31"/>
        <v>102.53333333333333</v>
      </c>
      <c r="L53" s="18">
        <f t="shared" si="32"/>
        <v>292</v>
      </c>
      <c r="M53" s="2">
        <f t="shared" si="18"/>
        <v>364.4</v>
      </c>
      <c r="N53" s="200">
        <f t="shared" si="17"/>
        <v>262.39999999999998</v>
      </c>
      <c r="O53" s="135"/>
      <c r="P53" s="214"/>
      <c r="Q53" s="229">
        <v>769</v>
      </c>
      <c r="R53" s="216">
        <v>2050</v>
      </c>
      <c r="S53" s="216">
        <v>140</v>
      </c>
      <c r="T53" s="216">
        <v>1889</v>
      </c>
      <c r="U53" s="216">
        <v>16</v>
      </c>
      <c r="V53" s="216">
        <v>241</v>
      </c>
      <c r="W53" s="216">
        <v>244</v>
      </c>
      <c r="X53" s="216">
        <v>146</v>
      </c>
      <c r="Y53" s="216">
        <v>197</v>
      </c>
      <c r="Z53" s="216">
        <v>51</v>
      </c>
      <c r="AA53" s="216">
        <v>570</v>
      </c>
      <c r="AB53" s="216">
        <v>380</v>
      </c>
      <c r="AC53" s="216">
        <v>189</v>
      </c>
      <c r="AD53" s="216">
        <v>114</v>
      </c>
      <c r="AE53" s="216">
        <v>12</v>
      </c>
      <c r="AF53" s="216">
        <v>0</v>
      </c>
      <c r="AG53" s="216">
        <v>57</v>
      </c>
      <c r="AH53" s="216">
        <v>22</v>
      </c>
      <c r="AI53" s="216">
        <v>26</v>
      </c>
      <c r="AJ53" s="216">
        <v>513</v>
      </c>
      <c r="AK53" s="216">
        <v>34</v>
      </c>
      <c r="AL53" s="130"/>
      <c r="AM53" s="130"/>
      <c r="AN53" s="218"/>
      <c r="AS53" s="1">
        <f t="shared" si="10"/>
        <v>769</v>
      </c>
      <c r="AT53" s="1">
        <f t="shared" si="11"/>
        <v>2190</v>
      </c>
      <c r="AU53" s="1">
        <f t="shared" si="12"/>
        <v>2733</v>
      </c>
      <c r="AV53" s="1">
        <f t="shared" si="13"/>
        <v>1967.9999999999998</v>
      </c>
    </row>
    <row r="54" spans="1:48" ht="14" customHeight="1">
      <c r="A54" s="14" t="s">
        <v>425</v>
      </c>
      <c r="B54" s="8" t="s">
        <v>431</v>
      </c>
      <c r="C54" s="8" t="str">
        <f t="shared" si="8"/>
        <v>Indonesiakh.br.as.idn.11_A</v>
      </c>
      <c r="D54" s="8" t="s">
        <v>506</v>
      </c>
      <c r="E54" s="8" t="s">
        <v>507</v>
      </c>
      <c r="F54" s="19">
        <v>46835</v>
      </c>
      <c r="G54" s="19">
        <v>46943</v>
      </c>
      <c r="H54" s="186" t="s">
        <v>226</v>
      </c>
      <c r="I54" s="8" t="s">
        <v>254</v>
      </c>
      <c r="J54" s="8" t="s">
        <v>7</v>
      </c>
      <c r="K54" s="293">
        <f t="shared" si="31"/>
        <v>86.933333333333337</v>
      </c>
      <c r="L54" s="18">
        <f t="shared" si="32"/>
        <v>247.73333333333332</v>
      </c>
      <c r="M54" s="2">
        <f t="shared" si="18"/>
        <v>309.06666666666666</v>
      </c>
      <c r="N54" s="200">
        <f t="shared" si="17"/>
        <v>222.53333333333333</v>
      </c>
      <c r="O54" s="135"/>
      <c r="P54" s="214"/>
      <c r="Q54" s="229">
        <v>652</v>
      </c>
      <c r="R54" s="216">
        <v>1739</v>
      </c>
      <c r="S54" s="216">
        <v>119</v>
      </c>
      <c r="T54" s="216">
        <v>1601</v>
      </c>
      <c r="U54" s="216">
        <v>14</v>
      </c>
      <c r="V54" s="216">
        <v>205</v>
      </c>
      <c r="W54" s="216">
        <v>207</v>
      </c>
      <c r="X54" s="216">
        <v>124</v>
      </c>
      <c r="Y54" s="216">
        <v>167</v>
      </c>
      <c r="Z54" s="216">
        <v>44</v>
      </c>
      <c r="AA54" s="216">
        <v>483</v>
      </c>
      <c r="AB54" s="216">
        <v>322</v>
      </c>
      <c r="AC54" s="216">
        <v>160</v>
      </c>
      <c r="AD54" s="216">
        <v>97</v>
      </c>
      <c r="AE54" s="216">
        <v>10</v>
      </c>
      <c r="AF54" s="216">
        <v>0</v>
      </c>
      <c r="AG54" s="216">
        <v>48</v>
      </c>
      <c r="AH54" s="216">
        <v>19</v>
      </c>
      <c r="AI54" s="216">
        <v>22</v>
      </c>
      <c r="AJ54" s="216">
        <v>435</v>
      </c>
      <c r="AK54" s="216">
        <v>29</v>
      </c>
      <c r="AL54" s="130"/>
      <c r="AM54" s="130"/>
      <c r="AN54" s="218"/>
      <c r="AS54" s="1">
        <f t="shared" si="10"/>
        <v>652</v>
      </c>
      <c r="AT54" s="1">
        <f t="shared" si="11"/>
        <v>1858</v>
      </c>
      <c r="AU54" s="1">
        <f t="shared" si="12"/>
        <v>2318</v>
      </c>
      <c r="AV54" s="1">
        <f t="shared" si="13"/>
        <v>1669</v>
      </c>
    </row>
    <row r="55" spans="1:48" ht="14" customHeight="1">
      <c r="A55" s="14" t="s">
        <v>425</v>
      </c>
      <c r="B55" s="8" t="s">
        <v>432</v>
      </c>
      <c r="C55" s="8" t="str">
        <f t="shared" ref="C55:C62" si="33">A55&amp;D55</f>
        <v>Indonesiakh.br.as.idn.14</v>
      </c>
      <c r="D55" s="8" t="s">
        <v>508</v>
      </c>
      <c r="E55" s="8" t="s">
        <v>509</v>
      </c>
      <c r="F55" s="19">
        <v>46850</v>
      </c>
      <c r="G55" s="19">
        <v>46955</v>
      </c>
      <c r="H55" s="186" t="s">
        <v>226</v>
      </c>
      <c r="I55" s="8" t="s">
        <v>254</v>
      </c>
      <c r="J55" s="8" t="s">
        <v>7</v>
      </c>
      <c r="K55" s="293">
        <f t="shared" si="31"/>
        <v>78.666666666666671</v>
      </c>
      <c r="L55" s="18">
        <f t="shared" si="32"/>
        <v>224.13333333333333</v>
      </c>
      <c r="M55" s="2">
        <f t="shared" si="18"/>
        <v>279.60000000000002</v>
      </c>
      <c r="N55" s="200">
        <f t="shared" ref="N55:N80" si="34">(SUM(Z55:AL55)/7.5)</f>
        <v>201.33333333333334</v>
      </c>
      <c r="O55" s="135"/>
      <c r="P55" s="214"/>
      <c r="Q55" s="229">
        <v>590</v>
      </c>
      <c r="R55" s="216">
        <v>1574</v>
      </c>
      <c r="S55" s="216">
        <v>107</v>
      </c>
      <c r="T55" s="216">
        <v>1450</v>
      </c>
      <c r="U55" s="216">
        <v>12</v>
      </c>
      <c r="V55" s="216">
        <v>185</v>
      </c>
      <c r="W55" s="216">
        <v>187</v>
      </c>
      <c r="X55" s="216">
        <v>112</v>
      </c>
      <c r="Y55" s="216">
        <v>151</v>
      </c>
      <c r="Z55" s="216">
        <v>39</v>
      </c>
      <c r="AA55" s="216">
        <v>437</v>
      </c>
      <c r="AB55" s="216">
        <v>292</v>
      </c>
      <c r="AC55" s="216">
        <v>145</v>
      </c>
      <c r="AD55" s="216">
        <v>87</v>
      </c>
      <c r="AE55" s="216">
        <v>9</v>
      </c>
      <c r="AF55" s="216">
        <v>0</v>
      </c>
      <c r="AG55" s="216">
        <v>44</v>
      </c>
      <c r="AH55" s="216">
        <v>17</v>
      </c>
      <c r="AI55" s="216">
        <v>20</v>
      </c>
      <c r="AJ55" s="216">
        <v>394</v>
      </c>
      <c r="AK55" s="216">
        <v>26</v>
      </c>
      <c r="AL55" s="130"/>
      <c r="AM55" s="130"/>
      <c r="AN55" s="218"/>
      <c r="AS55" s="1">
        <f t="shared" si="10"/>
        <v>590</v>
      </c>
      <c r="AT55" s="1">
        <f t="shared" si="11"/>
        <v>1681</v>
      </c>
      <c r="AU55" s="1">
        <f t="shared" si="12"/>
        <v>2097</v>
      </c>
      <c r="AV55" s="1">
        <f t="shared" si="13"/>
        <v>1510</v>
      </c>
    </row>
    <row r="56" spans="1:48" ht="14" customHeight="1">
      <c r="A56" s="14" t="s">
        <v>425</v>
      </c>
      <c r="B56" s="8" t="s">
        <v>432</v>
      </c>
      <c r="C56" s="8" t="str">
        <f t="shared" si="33"/>
        <v>Indonesiakh.br.as.idn.13</v>
      </c>
      <c r="D56" s="8" t="s">
        <v>510</v>
      </c>
      <c r="E56" s="8" t="s">
        <v>511</v>
      </c>
      <c r="F56" s="19">
        <v>46854</v>
      </c>
      <c r="G56" s="19">
        <v>46958</v>
      </c>
      <c r="H56" s="186" t="s">
        <v>226</v>
      </c>
      <c r="I56" s="8" t="s">
        <v>254</v>
      </c>
      <c r="J56" s="8" t="s">
        <v>7</v>
      </c>
      <c r="K56" s="293">
        <f t="shared" si="31"/>
        <v>40.666666666666664</v>
      </c>
      <c r="L56" s="18">
        <f t="shared" si="32"/>
        <v>115.86666666666666</v>
      </c>
      <c r="M56" s="2">
        <f t="shared" si="18"/>
        <v>144.53333333333333</v>
      </c>
      <c r="N56" s="200">
        <f t="shared" si="34"/>
        <v>104.13333333333334</v>
      </c>
      <c r="O56" s="135"/>
      <c r="P56" s="214"/>
      <c r="Q56" s="229">
        <v>305</v>
      </c>
      <c r="R56" s="216">
        <v>814</v>
      </c>
      <c r="S56" s="216">
        <v>55</v>
      </c>
      <c r="T56" s="216">
        <v>749</v>
      </c>
      <c r="U56" s="216">
        <v>6</v>
      </c>
      <c r="V56" s="216">
        <v>96</v>
      </c>
      <c r="W56" s="216">
        <v>97</v>
      </c>
      <c r="X56" s="216">
        <v>58</v>
      </c>
      <c r="Y56" s="216">
        <v>78</v>
      </c>
      <c r="Z56" s="216">
        <v>20</v>
      </c>
      <c r="AA56" s="216">
        <v>226</v>
      </c>
      <c r="AB56" s="216">
        <v>151</v>
      </c>
      <c r="AC56" s="216">
        <v>75</v>
      </c>
      <c r="AD56" s="216">
        <v>45</v>
      </c>
      <c r="AE56" s="216">
        <v>5</v>
      </c>
      <c r="AF56" s="216">
        <v>0</v>
      </c>
      <c r="AG56" s="216">
        <v>23</v>
      </c>
      <c r="AH56" s="216">
        <v>9</v>
      </c>
      <c r="AI56" s="216">
        <v>10</v>
      </c>
      <c r="AJ56" s="216">
        <v>203</v>
      </c>
      <c r="AK56" s="216">
        <v>14</v>
      </c>
      <c r="AL56" s="130"/>
      <c r="AM56" s="130"/>
      <c r="AN56" s="218"/>
      <c r="AS56" s="1">
        <f t="shared" si="10"/>
        <v>305</v>
      </c>
      <c r="AT56" s="1">
        <f t="shared" si="11"/>
        <v>869</v>
      </c>
      <c r="AU56" s="1">
        <f t="shared" si="12"/>
        <v>1084</v>
      </c>
      <c r="AV56" s="1">
        <f t="shared" si="13"/>
        <v>781</v>
      </c>
    </row>
    <row r="57" spans="1:48" ht="14" customHeight="1">
      <c r="A57" s="14" t="s">
        <v>425</v>
      </c>
      <c r="B57" s="8" t="s">
        <v>433</v>
      </c>
      <c r="C57" s="8" t="str">
        <f t="shared" si="33"/>
        <v>Indonesiakh.br.as.idn.16</v>
      </c>
      <c r="D57" s="8" t="s">
        <v>512</v>
      </c>
      <c r="E57" s="8" t="s">
        <v>513</v>
      </c>
      <c r="F57" s="19">
        <v>46860</v>
      </c>
      <c r="G57" s="19">
        <v>46963</v>
      </c>
      <c r="H57" s="186" t="s">
        <v>226</v>
      </c>
      <c r="I57" s="8" t="s">
        <v>254</v>
      </c>
      <c r="J57" s="8" t="s">
        <v>7</v>
      </c>
      <c r="K57" s="293">
        <f t="shared" si="31"/>
        <v>32</v>
      </c>
      <c r="L57" s="18">
        <f t="shared" si="32"/>
        <v>91.066666666666663</v>
      </c>
      <c r="M57" s="2">
        <f t="shared" si="18"/>
        <v>113.6</v>
      </c>
      <c r="N57" s="200">
        <f t="shared" si="34"/>
        <v>82</v>
      </c>
      <c r="O57" s="135"/>
      <c r="P57" s="214"/>
      <c r="Q57" s="229">
        <v>240</v>
      </c>
      <c r="R57" s="216">
        <v>639</v>
      </c>
      <c r="S57" s="216">
        <v>44</v>
      </c>
      <c r="T57" s="216">
        <v>589</v>
      </c>
      <c r="U57" s="216">
        <v>5</v>
      </c>
      <c r="V57" s="216">
        <v>75</v>
      </c>
      <c r="W57" s="216">
        <v>76</v>
      </c>
      <c r="X57" s="216">
        <v>46</v>
      </c>
      <c r="Y57" s="216">
        <v>61</v>
      </c>
      <c r="Z57" s="216">
        <v>16</v>
      </c>
      <c r="AA57" s="216">
        <v>178</v>
      </c>
      <c r="AB57" s="216">
        <v>118</v>
      </c>
      <c r="AC57" s="216">
        <v>59</v>
      </c>
      <c r="AD57" s="216">
        <v>36</v>
      </c>
      <c r="AE57" s="216">
        <v>4</v>
      </c>
      <c r="AF57" s="216">
        <v>0</v>
      </c>
      <c r="AG57" s="216">
        <v>18</v>
      </c>
      <c r="AH57" s="216">
        <v>7</v>
      </c>
      <c r="AI57" s="216">
        <v>8</v>
      </c>
      <c r="AJ57" s="216">
        <v>160</v>
      </c>
      <c r="AK57" s="216">
        <v>11</v>
      </c>
      <c r="AL57" s="130"/>
      <c r="AM57" s="130"/>
      <c r="AN57" s="218"/>
      <c r="AS57" s="1">
        <f t="shared" si="10"/>
        <v>240</v>
      </c>
      <c r="AT57" s="1">
        <f t="shared" si="11"/>
        <v>683</v>
      </c>
      <c r="AU57" s="1">
        <f t="shared" si="12"/>
        <v>852</v>
      </c>
      <c r="AV57" s="1">
        <f t="shared" si="13"/>
        <v>615</v>
      </c>
    </row>
    <row r="58" spans="1:48" ht="14" customHeight="1">
      <c r="A58" s="14" t="s">
        <v>425</v>
      </c>
      <c r="B58" s="8" t="s">
        <v>433</v>
      </c>
      <c r="C58" s="8" t="str">
        <f t="shared" si="33"/>
        <v>Indonesiakh.br.as.idn.15</v>
      </c>
      <c r="D58" s="8" t="s">
        <v>514</v>
      </c>
      <c r="E58" s="8" t="s">
        <v>515</v>
      </c>
      <c r="F58" s="19">
        <v>46870</v>
      </c>
      <c r="G58" s="19">
        <v>46969</v>
      </c>
      <c r="H58" s="186" t="s">
        <v>226</v>
      </c>
      <c r="I58" s="8" t="s">
        <v>254</v>
      </c>
      <c r="J58" s="8" t="s">
        <v>7</v>
      </c>
      <c r="K58" s="293">
        <f t="shared" si="31"/>
        <v>57.866666666666667</v>
      </c>
      <c r="L58" s="18">
        <f t="shared" si="32"/>
        <v>164.8</v>
      </c>
      <c r="M58" s="2">
        <f t="shared" si="18"/>
        <v>205.6</v>
      </c>
      <c r="N58" s="200">
        <f t="shared" si="34"/>
        <v>147.86666666666667</v>
      </c>
      <c r="O58" s="135"/>
      <c r="P58" s="214"/>
      <c r="Q58" s="229">
        <v>434</v>
      </c>
      <c r="R58" s="216">
        <v>1157</v>
      </c>
      <c r="S58" s="216">
        <v>79</v>
      </c>
      <c r="T58" s="216">
        <v>1065</v>
      </c>
      <c r="U58" s="216">
        <v>9</v>
      </c>
      <c r="V58" s="216">
        <v>136</v>
      </c>
      <c r="W58" s="216">
        <v>138</v>
      </c>
      <c r="X58" s="216">
        <v>83</v>
      </c>
      <c r="Y58" s="216">
        <v>111</v>
      </c>
      <c r="Z58" s="216">
        <v>29</v>
      </c>
      <c r="AA58" s="216">
        <v>321</v>
      </c>
      <c r="AB58" s="216">
        <v>214</v>
      </c>
      <c r="AC58" s="216">
        <v>107</v>
      </c>
      <c r="AD58" s="216">
        <v>64</v>
      </c>
      <c r="AE58" s="216">
        <v>7</v>
      </c>
      <c r="AF58" s="216">
        <v>0</v>
      </c>
      <c r="AG58" s="216">
        <v>32</v>
      </c>
      <c r="AH58" s="216">
        <v>13</v>
      </c>
      <c r="AI58" s="216">
        <v>14</v>
      </c>
      <c r="AJ58" s="216">
        <v>289</v>
      </c>
      <c r="AK58" s="216">
        <v>19</v>
      </c>
      <c r="AL58" s="130"/>
      <c r="AM58" s="130"/>
      <c r="AN58" s="218"/>
      <c r="AS58" s="1">
        <f t="shared" si="10"/>
        <v>434</v>
      </c>
      <c r="AT58" s="1">
        <f t="shared" si="11"/>
        <v>1236</v>
      </c>
      <c r="AU58" s="1">
        <f t="shared" si="12"/>
        <v>1542</v>
      </c>
      <c r="AV58" s="1">
        <f t="shared" si="13"/>
        <v>1109</v>
      </c>
    </row>
    <row r="59" spans="1:48" ht="14" customHeight="1">
      <c r="A59" s="14" t="s">
        <v>425</v>
      </c>
      <c r="B59" s="8" t="s">
        <v>434</v>
      </c>
      <c r="C59" s="8" t="str">
        <f t="shared" si="33"/>
        <v>Indonesiakh.br.as.idn.18</v>
      </c>
      <c r="D59" s="8" t="s">
        <v>516</v>
      </c>
      <c r="E59" s="8" t="s">
        <v>517</v>
      </c>
      <c r="F59" s="19">
        <v>46871</v>
      </c>
      <c r="G59" s="19">
        <v>46970</v>
      </c>
      <c r="H59" s="186" t="s">
        <v>226</v>
      </c>
      <c r="I59" s="8" t="s">
        <v>254</v>
      </c>
      <c r="J59" s="8" t="s">
        <v>7</v>
      </c>
      <c r="K59" s="293">
        <f t="shared" si="31"/>
        <v>7.7333333333333334</v>
      </c>
      <c r="L59" s="18">
        <f t="shared" si="32"/>
        <v>21.866666666666667</v>
      </c>
      <c r="M59" s="2">
        <f t="shared" ref="M59:M80" si="35">(SUM(T59:Y59)/7.5)</f>
        <v>27.333333333333332</v>
      </c>
      <c r="N59" s="200">
        <f t="shared" si="34"/>
        <v>20</v>
      </c>
      <c r="O59" s="135"/>
      <c r="P59" s="214"/>
      <c r="Q59" s="229">
        <v>58</v>
      </c>
      <c r="R59" s="216">
        <v>154</v>
      </c>
      <c r="S59" s="216">
        <v>10</v>
      </c>
      <c r="T59" s="216">
        <v>142</v>
      </c>
      <c r="U59" s="216">
        <v>1</v>
      </c>
      <c r="V59" s="216">
        <v>18</v>
      </c>
      <c r="W59" s="216">
        <v>18</v>
      </c>
      <c r="X59" s="216">
        <v>11</v>
      </c>
      <c r="Y59" s="216">
        <v>15</v>
      </c>
      <c r="Z59" s="216">
        <v>4</v>
      </c>
      <c r="AA59" s="216">
        <v>43</v>
      </c>
      <c r="AB59" s="216">
        <v>29</v>
      </c>
      <c r="AC59" s="216">
        <v>14</v>
      </c>
      <c r="AD59" s="216">
        <v>9</v>
      </c>
      <c r="AE59" s="216">
        <v>1</v>
      </c>
      <c r="AF59" s="216">
        <v>0</v>
      </c>
      <c r="AG59" s="216">
        <v>4</v>
      </c>
      <c r="AH59" s="216">
        <v>2</v>
      </c>
      <c r="AI59" s="216">
        <v>2</v>
      </c>
      <c r="AJ59" s="216">
        <v>39</v>
      </c>
      <c r="AK59" s="216">
        <v>3</v>
      </c>
      <c r="AL59" s="130"/>
      <c r="AM59" s="130"/>
      <c r="AN59" s="218"/>
      <c r="AS59" s="1">
        <f t="shared" si="10"/>
        <v>58</v>
      </c>
      <c r="AT59" s="1">
        <f t="shared" si="11"/>
        <v>164</v>
      </c>
      <c r="AU59" s="1">
        <f t="shared" si="12"/>
        <v>205</v>
      </c>
      <c r="AV59" s="1">
        <f t="shared" si="13"/>
        <v>150</v>
      </c>
    </row>
    <row r="60" spans="1:48" ht="14" customHeight="1">
      <c r="A60" s="14" t="s">
        <v>425</v>
      </c>
      <c r="B60" s="8" t="s">
        <v>434</v>
      </c>
      <c r="C60" s="8" t="str">
        <f t="shared" si="33"/>
        <v>Indonesiakh.br.as.idn.17</v>
      </c>
      <c r="D60" s="8" t="s">
        <v>518</v>
      </c>
      <c r="E60" s="8" t="s">
        <v>519</v>
      </c>
      <c r="F60" s="19">
        <v>46872</v>
      </c>
      <c r="G60" s="19">
        <v>46971</v>
      </c>
      <c r="H60" s="186" t="s">
        <v>226</v>
      </c>
      <c r="I60" s="8" t="s">
        <v>254</v>
      </c>
      <c r="J60" s="8" t="s">
        <v>7</v>
      </c>
      <c r="K60" s="293">
        <f t="shared" si="31"/>
        <v>11.066666666666666</v>
      </c>
      <c r="L60" s="18">
        <f t="shared" si="32"/>
        <v>31.6</v>
      </c>
      <c r="M60" s="2">
        <f t="shared" si="35"/>
        <v>39.333333333333336</v>
      </c>
      <c r="N60" s="200">
        <f t="shared" si="34"/>
        <v>28.266666666666666</v>
      </c>
      <c r="O60" s="135"/>
      <c r="P60" s="214"/>
      <c r="Q60" s="229">
        <v>83</v>
      </c>
      <c r="R60" s="216">
        <v>222</v>
      </c>
      <c r="S60" s="216">
        <v>15</v>
      </c>
      <c r="T60" s="216">
        <v>204</v>
      </c>
      <c r="U60" s="216">
        <v>2</v>
      </c>
      <c r="V60" s="216">
        <v>26</v>
      </c>
      <c r="W60" s="216">
        <v>26</v>
      </c>
      <c r="X60" s="216">
        <v>16</v>
      </c>
      <c r="Y60" s="216">
        <v>21</v>
      </c>
      <c r="Z60" s="216">
        <v>6</v>
      </c>
      <c r="AA60" s="216">
        <v>62</v>
      </c>
      <c r="AB60" s="216">
        <v>41</v>
      </c>
      <c r="AC60" s="216">
        <v>20</v>
      </c>
      <c r="AD60" s="216">
        <v>12</v>
      </c>
      <c r="AE60" s="216">
        <v>1</v>
      </c>
      <c r="AF60" s="216">
        <v>0</v>
      </c>
      <c r="AG60" s="216">
        <v>6</v>
      </c>
      <c r="AH60" s="216">
        <v>2</v>
      </c>
      <c r="AI60" s="216">
        <v>3</v>
      </c>
      <c r="AJ60" s="216">
        <v>55</v>
      </c>
      <c r="AK60" s="216">
        <v>4</v>
      </c>
      <c r="AL60" s="130"/>
      <c r="AM60" s="130"/>
      <c r="AN60" s="218"/>
      <c r="AS60" s="1">
        <f t="shared" si="10"/>
        <v>83</v>
      </c>
      <c r="AT60" s="1">
        <f t="shared" si="11"/>
        <v>237</v>
      </c>
      <c r="AU60" s="1">
        <f t="shared" si="12"/>
        <v>295</v>
      </c>
      <c r="AV60" s="1">
        <f t="shared" si="13"/>
        <v>212</v>
      </c>
    </row>
    <row r="61" spans="1:48" ht="14" customHeight="1">
      <c r="A61" s="14" t="s">
        <v>425</v>
      </c>
      <c r="B61" s="8" t="s">
        <v>435</v>
      </c>
      <c r="C61" s="8" t="str">
        <f t="shared" si="33"/>
        <v>Indonesiakh.br.as.idn.20</v>
      </c>
      <c r="D61" s="8" t="s">
        <v>520</v>
      </c>
      <c r="E61" s="8" t="s">
        <v>521</v>
      </c>
      <c r="F61" s="19">
        <v>46874</v>
      </c>
      <c r="G61" s="19">
        <v>46973</v>
      </c>
      <c r="H61" s="186" t="s">
        <v>226</v>
      </c>
      <c r="I61" s="8" t="s">
        <v>254</v>
      </c>
      <c r="J61" s="8" t="s">
        <v>7</v>
      </c>
      <c r="K61" s="293">
        <f t="shared" si="31"/>
        <v>17.466666666666665</v>
      </c>
      <c r="L61" s="18">
        <f t="shared" si="32"/>
        <v>49.866666666666667</v>
      </c>
      <c r="M61" s="2">
        <f t="shared" si="35"/>
        <v>62.266666666666666</v>
      </c>
      <c r="N61" s="200">
        <f t="shared" si="34"/>
        <v>44.666666666666664</v>
      </c>
      <c r="O61" s="135"/>
      <c r="P61" s="214"/>
      <c r="Q61" s="229">
        <v>131</v>
      </c>
      <c r="R61" s="216">
        <v>350</v>
      </c>
      <c r="S61" s="216">
        <v>24</v>
      </c>
      <c r="T61" s="216">
        <v>322</v>
      </c>
      <c r="U61" s="216">
        <v>3</v>
      </c>
      <c r="V61" s="216">
        <v>41</v>
      </c>
      <c r="W61" s="216">
        <v>42</v>
      </c>
      <c r="X61" s="216">
        <v>25</v>
      </c>
      <c r="Y61" s="216">
        <v>34</v>
      </c>
      <c r="Z61" s="216">
        <v>9</v>
      </c>
      <c r="AA61" s="216">
        <v>97</v>
      </c>
      <c r="AB61" s="216">
        <v>65</v>
      </c>
      <c r="AC61" s="216">
        <v>32</v>
      </c>
      <c r="AD61" s="216">
        <v>19</v>
      </c>
      <c r="AE61" s="216">
        <v>2</v>
      </c>
      <c r="AF61" s="216">
        <v>0</v>
      </c>
      <c r="AG61" s="216">
        <v>10</v>
      </c>
      <c r="AH61" s="216">
        <v>4</v>
      </c>
      <c r="AI61" s="216">
        <v>4</v>
      </c>
      <c r="AJ61" s="216">
        <v>87</v>
      </c>
      <c r="AK61" s="216">
        <v>6</v>
      </c>
      <c r="AL61" s="130"/>
      <c r="AM61" s="130"/>
      <c r="AN61" s="218"/>
      <c r="AS61" s="1">
        <f t="shared" si="10"/>
        <v>131</v>
      </c>
      <c r="AT61" s="1">
        <f t="shared" si="11"/>
        <v>374</v>
      </c>
      <c r="AU61" s="1">
        <f t="shared" si="12"/>
        <v>467</v>
      </c>
      <c r="AV61" s="1">
        <f t="shared" si="13"/>
        <v>335</v>
      </c>
    </row>
    <row r="62" spans="1:48" ht="14" customHeight="1" thickBot="1">
      <c r="A62" s="10" t="s">
        <v>425</v>
      </c>
      <c r="B62" s="11" t="s">
        <v>435</v>
      </c>
      <c r="C62" s="11" t="str">
        <f t="shared" si="33"/>
        <v>Indonesiakh.br.as.idn.19</v>
      </c>
      <c r="D62" s="11" t="s">
        <v>522</v>
      </c>
      <c r="E62" s="8" t="s">
        <v>523</v>
      </c>
      <c r="F62" s="145">
        <v>46876</v>
      </c>
      <c r="G62" s="145">
        <v>46975</v>
      </c>
      <c r="H62" s="186" t="s">
        <v>226</v>
      </c>
      <c r="I62" s="8" t="s">
        <v>254</v>
      </c>
      <c r="J62" s="8" t="s">
        <v>7</v>
      </c>
      <c r="K62" s="294">
        <f t="shared" si="31"/>
        <v>15.2</v>
      </c>
      <c r="L62" s="52">
        <f t="shared" si="32"/>
        <v>43.2</v>
      </c>
      <c r="M62" s="117">
        <f t="shared" si="35"/>
        <v>53.866666666666667</v>
      </c>
      <c r="N62" s="202">
        <f t="shared" si="34"/>
        <v>38.799999999999997</v>
      </c>
      <c r="O62" s="182"/>
      <c r="P62" s="230"/>
      <c r="Q62" s="231">
        <v>114</v>
      </c>
      <c r="R62" s="220">
        <v>303</v>
      </c>
      <c r="S62" s="220">
        <v>21</v>
      </c>
      <c r="T62" s="220">
        <v>279</v>
      </c>
      <c r="U62" s="220">
        <v>2</v>
      </c>
      <c r="V62" s="220">
        <v>36</v>
      </c>
      <c r="W62" s="220">
        <v>36</v>
      </c>
      <c r="X62" s="220">
        <v>22</v>
      </c>
      <c r="Y62" s="220">
        <v>29</v>
      </c>
      <c r="Z62" s="220">
        <v>8</v>
      </c>
      <c r="AA62" s="220">
        <v>84</v>
      </c>
      <c r="AB62" s="220">
        <v>56</v>
      </c>
      <c r="AC62" s="220">
        <v>28</v>
      </c>
      <c r="AD62" s="220">
        <v>17</v>
      </c>
      <c r="AE62" s="220">
        <v>2</v>
      </c>
      <c r="AF62" s="220">
        <v>0</v>
      </c>
      <c r="AG62" s="220">
        <v>8</v>
      </c>
      <c r="AH62" s="220">
        <v>3</v>
      </c>
      <c r="AI62" s="220">
        <v>4</v>
      </c>
      <c r="AJ62" s="220">
        <v>76</v>
      </c>
      <c r="AK62" s="220">
        <v>5</v>
      </c>
      <c r="AL62" s="131"/>
      <c r="AM62" s="131"/>
      <c r="AN62" s="174"/>
      <c r="AS62" s="1">
        <f t="shared" si="10"/>
        <v>114</v>
      </c>
      <c r="AT62" s="1">
        <f t="shared" si="11"/>
        <v>324</v>
      </c>
      <c r="AU62" s="1">
        <f t="shared" si="12"/>
        <v>404</v>
      </c>
      <c r="AV62" s="1">
        <f t="shared" si="13"/>
        <v>291</v>
      </c>
    </row>
    <row r="63" spans="1:48" ht="14" customHeight="1">
      <c r="A63" s="122" t="s">
        <v>424</v>
      </c>
      <c r="B63" s="123" t="s">
        <v>426</v>
      </c>
      <c r="C63" s="123" t="str">
        <f t="shared" ref="C63:C80" si="36">A63&amp;D63</f>
        <v>Philippineskh.br.as.phl.08</v>
      </c>
      <c r="D63" s="123" t="s">
        <v>436</v>
      </c>
      <c r="E63" s="8" t="s">
        <v>437</v>
      </c>
      <c r="F63" s="19">
        <v>46838</v>
      </c>
      <c r="G63" s="19">
        <v>46947</v>
      </c>
      <c r="H63" s="186" t="s">
        <v>226</v>
      </c>
      <c r="I63" s="8" t="s">
        <v>254</v>
      </c>
      <c r="J63" s="8" t="s">
        <v>7</v>
      </c>
      <c r="K63" s="295">
        <f t="shared" si="31"/>
        <v>12.533333333333333</v>
      </c>
      <c r="L63" s="206">
        <f t="shared" si="32"/>
        <v>23.866666666666667</v>
      </c>
      <c r="M63" s="207">
        <f t="shared" si="35"/>
        <v>25.866666666666667</v>
      </c>
      <c r="N63" s="208">
        <f t="shared" si="34"/>
        <v>100.8</v>
      </c>
      <c r="O63" s="203"/>
      <c r="P63" s="209"/>
      <c r="Q63" s="210">
        <v>94</v>
      </c>
      <c r="R63" s="211">
        <v>169</v>
      </c>
      <c r="S63" s="211">
        <v>10</v>
      </c>
      <c r="T63" s="211">
        <v>106</v>
      </c>
      <c r="U63" s="211">
        <v>5</v>
      </c>
      <c r="V63" s="211">
        <v>26</v>
      </c>
      <c r="W63" s="211">
        <v>25</v>
      </c>
      <c r="X63" s="211">
        <v>24</v>
      </c>
      <c r="Y63" s="211">
        <v>8</v>
      </c>
      <c r="Z63" s="211">
        <v>1</v>
      </c>
      <c r="AA63" s="211">
        <v>210</v>
      </c>
      <c r="AB63" s="211">
        <v>271</v>
      </c>
      <c r="AC63" s="211">
        <v>108</v>
      </c>
      <c r="AD63" s="211"/>
      <c r="AE63" s="211"/>
      <c r="AF63" s="211">
        <v>0</v>
      </c>
      <c r="AG63" s="211">
        <v>40</v>
      </c>
      <c r="AH63" s="211">
        <v>2</v>
      </c>
      <c r="AI63" s="211">
        <v>7</v>
      </c>
      <c r="AJ63" s="211">
        <v>87</v>
      </c>
      <c r="AK63" s="212">
        <v>30</v>
      </c>
      <c r="AL63" s="176"/>
      <c r="AM63" s="176"/>
      <c r="AN63" s="213"/>
      <c r="AS63" s="1">
        <f t="shared" si="10"/>
        <v>94</v>
      </c>
      <c r="AT63" s="1">
        <f t="shared" si="11"/>
        <v>179</v>
      </c>
      <c r="AU63" s="1">
        <f t="shared" si="12"/>
        <v>194</v>
      </c>
      <c r="AV63" s="1">
        <f t="shared" si="13"/>
        <v>756</v>
      </c>
    </row>
    <row r="64" spans="1:48" ht="14" customHeight="1">
      <c r="A64" s="14" t="s">
        <v>424</v>
      </c>
      <c r="B64" s="8" t="s">
        <v>426</v>
      </c>
      <c r="C64" s="8" t="str">
        <f t="shared" si="36"/>
        <v>Philippineskh.br.as.phl.09</v>
      </c>
      <c r="D64" s="8" t="s">
        <v>438</v>
      </c>
      <c r="E64" s="8" t="s">
        <v>439</v>
      </c>
      <c r="F64" s="19">
        <v>46880</v>
      </c>
      <c r="G64" s="19">
        <v>46979</v>
      </c>
      <c r="H64" s="186" t="s">
        <v>226</v>
      </c>
      <c r="I64" s="8" t="s">
        <v>254</v>
      </c>
      <c r="J64" s="8" t="s">
        <v>7</v>
      </c>
      <c r="K64" s="293">
        <f t="shared" si="31"/>
        <v>18.266666666666666</v>
      </c>
      <c r="L64" s="18">
        <f t="shared" si="32"/>
        <v>34.93333333333333</v>
      </c>
      <c r="M64" s="2">
        <f t="shared" si="35"/>
        <v>37.6</v>
      </c>
      <c r="N64" s="200">
        <f t="shared" si="34"/>
        <v>147.6</v>
      </c>
      <c r="O64" s="135"/>
      <c r="P64" s="214"/>
      <c r="Q64" s="215">
        <v>137</v>
      </c>
      <c r="R64" s="216">
        <v>247</v>
      </c>
      <c r="S64" s="216">
        <v>15</v>
      </c>
      <c r="T64" s="216">
        <v>155</v>
      </c>
      <c r="U64" s="216">
        <v>7</v>
      </c>
      <c r="V64" s="216">
        <v>37</v>
      </c>
      <c r="W64" s="216">
        <v>37</v>
      </c>
      <c r="X64" s="216">
        <v>35</v>
      </c>
      <c r="Y64" s="216">
        <v>11</v>
      </c>
      <c r="Z64" s="216">
        <v>2</v>
      </c>
      <c r="AA64" s="216">
        <v>308</v>
      </c>
      <c r="AB64" s="216">
        <v>397</v>
      </c>
      <c r="AC64" s="216">
        <v>158</v>
      </c>
      <c r="AD64" s="216"/>
      <c r="AE64" s="216"/>
      <c r="AF64" s="216">
        <v>0</v>
      </c>
      <c r="AG64" s="216">
        <v>59</v>
      </c>
      <c r="AH64" s="216">
        <v>3</v>
      </c>
      <c r="AI64" s="216">
        <v>10</v>
      </c>
      <c r="AJ64" s="216">
        <v>127</v>
      </c>
      <c r="AK64" s="217">
        <v>43</v>
      </c>
      <c r="AL64" s="130"/>
      <c r="AM64" s="130"/>
      <c r="AN64" s="218"/>
      <c r="AS64" s="1">
        <f t="shared" si="10"/>
        <v>137</v>
      </c>
      <c r="AT64" s="1">
        <f t="shared" si="11"/>
        <v>262</v>
      </c>
      <c r="AU64" s="1">
        <f t="shared" si="12"/>
        <v>282</v>
      </c>
      <c r="AV64" s="1">
        <f t="shared" si="13"/>
        <v>1107</v>
      </c>
    </row>
    <row r="65" spans="1:48" ht="14" customHeight="1">
      <c r="A65" s="14" t="s">
        <v>424</v>
      </c>
      <c r="B65" s="8" t="s">
        <v>426</v>
      </c>
      <c r="C65" s="8" t="str">
        <f t="shared" si="36"/>
        <v>Philippineskh.br.as.phl.18</v>
      </c>
      <c r="D65" s="8" t="s">
        <v>440</v>
      </c>
      <c r="E65" s="8" t="s">
        <v>441</v>
      </c>
      <c r="F65" s="19">
        <v>46885</v>
      </c>
      <c r="G65" s="19">
        <v>46985</v>
      </c>
      <c r="H65" s="186" t="s">
        <v>226</v>
      </c>
      <c r="I65" s="8" t="s">
        <v>254</v>
      </c>
      <c r="J65" s="8" t="s">
        <v>7</v>
      </c>
      <c r="K65" s="293">
        <f t="shared" si="31"/>
        <v>18.399999999999999</v>
      </c>
      <c r="L65" s="18">
        <f t="shared" si="32"/>
        <v>35.200000000000003</v>
      </c>
      <c r="M65" s="2">
        <f t="shared" si="35"/>
        <v>38</v>
      </c>
      <c r="N65" s="200">
        <f t="shared" si="34"/>
        <v>148.66666666666666</v>
      </c>
      <c r="O65" s="135"/>
      <c r="P65" s="214"/>
      <c r="Q65" s="215">
        <v>138</v>
      </c>
      <c r="R65" s="216">
        <v>249</v>
      </c>
      <c r="S65" s="216">
        <v>15</v>
      </c>
      <c r="T65" s="216">
        <v>156</v>
      </c>
      <c r="U65" s="216">
        <v>7</v>
      </c>
      <c r="V65" s="216">
        <v>38</v>
      </c>
      <c r="W65" s="216">
        <v>37</v>
      </c>
      <c r="X65" s="216">
        <v>35</v>
      </c>
      <c r="Y65" s="216">
        <v>12</v>
      </c>
      <c r="Z65" s="216">
        <v>2</v>
      </c>
      <c r="AA65" s="216">
        <v>310</v>
      </c>
      <c r="AB65" s="216">
        <v>400</v>
      </c>
      <c r="AC65" s="216">
        <v>159</v>
      </c>
      <c r="AD65" s="216"/>
      <c r="AE65" s="216"/>
      <c r="AF65" s="216">
        <v>0</v>
      </c>
      <c r="AG65" s="216">
        <v>59</v>
      </c>
      <c r="AH65" s="216">
        <v>3</v>
      </c>
      <c r="AI65" s="216">
        <v>10</v>
      </c>
      <c r="AJ65" s="216">
        <v>128</v>
      </c>
      <c r="AK65" s="217">
        <v>44</v>
      </c>
      <c r="AL65" s="130"/>
      <c r="AM65" s="130"/>
      <c r="AN65" s="218"/>
      <c r="AS65" s="1">
        <f t="shared" si="10"/>
        <v>138</v>
      </c>
      <c r="AT65" s="1">
        <f t="shared" si="11"/>
        <v>264</v>
      </c>
      <c r="AU65" s="1">
        <f t="shared" si="12"/>
        <v>285</v>
      </c>
      <c r="AV65" s="1">
        <f t="shared" si="13"/>
        <v>1115</v>
      </c>
    </row>
    <row r="66" spans="1:48" ht="14" customHeight="1">
      <c r="A66" s="14" t="s">
        <v>424</v>
      </c>
      <c r="B66" s="8" t="s">
        <v>426</v>
      </c>
      <c r="C66" s="8" t="str">
        <f t="shared" si="36"/>
        <v>Philippineskh.br.as.phl.11</v>
      </c>
      <c r="D66" s="8" t="s">
        <v>442</v>
      </c>
      <c r="E66" s="8" t="s">
        <v>443</v>
      </c>
      <c r="F66" s="19">
        <v>46888</v>
      </c>
      <c r="G66" s="19">
        <v>46988</v>
      </c>
      <c r="H66" s="186" t="s">
        <v>226</v>
      </c>
      <c r="I66" s="8" t="s">
        <v>254</v>
      </c>
      <c r="J66" s="8" t="s">
        <v>7</v>
      </c>
      <c r="K66" s="293">
        <f t="shared" si="31"/>
        <v>17.600000000000001</v>
      </c>
      <c r="L66" s="18">
        <f t="shared" si="32"/>
        <v>33.6</v>
      </c>
      <c r="M66" s="2">
        <f t="shared" si="35"/>
        <v>36.133333333333333</v>
      </c>
      <c r="N66" s="200">
        <f t="shared" si="34"/>
        <v>141.86666666666667</v>
      </c>
      <c r="O66" s="135"/>
      <c r="P66" s="214"/>
      <c r="Q66" s="215">
        <v>132</v>
      </c>
      <c r="R66" s="216">
        <v>238</v>
      </c>
      <c r="S66" s="216">
        <v>14</v>
      </c>
      <c r="T66" s="216">
        <v>149</v>
      </c>
      <c r="U66" s="216">
        <v>7</v>
      </c>
      <c r="V66" s="216">
        <v>36</v>
      </c>
      <c r="W66" s="216">
        <v>35</v>
      </c>
      <c r="X66" s="216">
        <v>33</v>
      </c>
      <c r="Y66" s="216">
        <v>11</v>
      </c>
      <c r="Z66" s="216">
        <v>2</v>
      </c>
      <c r="AA66" s="216">
        <v>296</v>
      </c>
      <c r="AB66" s="216">
        <v>382</v>
      </c>
      <c r="AC66" s="216">
        <v>152</v>
      </c>
      <c r="AD66" s="216"/>
      <c r="AE66" s="216"/>
      <c r="AF66" s="216">
        <v>0</v>
      </c>
      <c r="AG66" s="216">
        <v>56</v>
      </c>
      <c r="AH66" s="216">
        <v>2</v>
      </c>
      <c r="AI66" s="216">
        <v>10</v>
      </c>
      <c r="AJ66" s="216">
        <v>122</v>
      </c>
      <c r="AK66" s="217">
        <v>42</v>
      </c>
      <c r="AL66" s="130"/>
      <c r="AM66" s="130"/>
      <c r="AN66" s="218"/>
      <c r="AS66" s="1">
        <f t="shared" si="10"/>
        <v>132</v>
      </c>
      <c r="AT66" s="1">
        <f t="shared" si="11"/>
        <v>252</v>
      </c>
      <c r="AU66" s="1">
        <f t="shared" si="12"/>
        <v>271</v>
      </c>
      <c r="AV66" s="1">
        <f t="shared" si="13"/>
        <v>1064</v>
      </c>
    </row>
    <row r="67" spans="1:48" ht="14" customHeight="1">
      <c r="A67" s="14" t="s">
        <v>424</v>
      </c>
      <c r="B67" s="8" t="s">
        <v>426</v>
      </c>
      <c r="C67" s="8" t="str">
        <f t="shared" si="36"/>
        <v>Philippineskh.br.as.phl.10</v>
      </c>
      <c r="D67" s="8" t="s">
        <v>444</v>
      </c>
      <c r="E67" s="8" t="s">
        <v>445</v>
      </c>
      <c r="F67" s="19">
        <v>46897</v>
      </c>
      <c r="G67" s="19">
        <v>46999</v>
      </c>
      <c r="H67" s="186" t="s">
        <v>226</v>
      </c>
      <c r="I67" s="8" t="s">
        <v>254</v>
      </c>
      <c r="J67" s="8" t="s">
        <v>7</v>
      </c>
      <c r="K67" s="293">
        <f t="shared" si="31"/>
        <v>25.333333333333332</v>
      </c>
      <c r="L67" s="18">
        <f t="shared" si="32"/>
        <v>48.4</v>
      </c>
      <c r="M67" s="2">
        <f t="shared" si="35"/>
        <v>52.133333333333333</v>
      </c>
      <c r="N67" s="200">
        <f t="shared" si="34"/>
        <v>204.4</v>
      </c>
      <c r="O67" s="135"/>
      <c r="P67" s="214"/>
      <c r="Q67" s="215">
        <v>190</v>
      </c>
      <c r="R67" s="216">
        <v>342</v>
      </c>
      <c r="S67" s="216">
        <v>21</v>
      </c>
      <c r="T67" s="216">
        <v>214</v>
      </c>
      <c r="U67" s="216">
        <v>10</v>
      </c>
      <c r="V67" s="216">
        <v>52</v>
      </c>
      <c r="W67" s="216">
        <v>51</v>
      </c>
      <c r="X67" s="216">
        <v>48</v>
      </c>
      <c r="Y67" s="216">
        <v>16</v>
      </c>
      <c r="Z67" s="216">
        <v>3</v>
      </c>
      <c r="AA67" s="216">
        <v>426</v>
      </c>
      <c r="AB67" s="216">
        <v>550</v>
      </c>
      <c r="AC67" s="216">
        <v>219</v>
      </c>
      <c r="AD67" s="216"/>
      <c r="AE67" s="216"/>
      <c r="AF67" s="216">
        <v>0</v>
      </c>
      <c r="AG67" s="216">
        <v>81</v>
      </c>
      <c r="AH67" s="216">
        <v>4</v>
      </c>
      <c r="AI67" s="216">
        <v>14</v>
      </c>
      <c r="AJ67" s="216">
        <v>176</v>
      </c>
      <c r="AK67" s="217">
        <v>60</v>
      </c>
      <c r="AL67" s="130"/>
      <c r="AM67" s="130"/>
      <c r="AN67" s="218"/>
      <c r="AS67" s="1">
        <f t="shared" si="10"/>
        <v>190</v>
      </c>
      <c r="AT67" s="1">
        <f t="shared" si="11"/>
        <v>363</v>
      </c>
      <c r="AU67" s="1">
        <f t="shared" si="12"/>
        <v>391</v>
      </c>
      <c r="AV67" s="1">
        <f t="shared" si="13"/>
        <v>1533</v>
      </c>
    </row>
    <row r="68" spans="1:48" ht="14" customHeight="1">
      <c r="A68" s="14" t="s">
        <v>424</v>
      </c>
      <c r="B68" s="8" t="s">
        <v>427</v>
      </c>
      <c r="C68" s="8" t="str">
        <f t="shared" si="36"/>
        <v>Philippineskh.br.as.phl.06</v>
      </c>
      <c r="D68" s="8" t="s">
        <v>446</v>
      </c>
      <c r="E68" s="8" t="s">
        <v>447</v>
      </c>
      <c r="F68" s="19">
        <v>46908</v>
      </c>
      <c r="G68" s="19">
        <v>47007</v>
      </c>
      <c r="H68" s="186" t="s">
        <v>226</v>
      </c>
      <c r="I68" s="8" t="s">
        <v>254</v>
      </c>
      <c r="J68" s="8" t="s">
        <v>7</v>
      </c>
      <c r="K68" s="293">
        <f t="shared" si="31"/>
        <v>78.266666666666666</v>
      </c>
      <c r="L68" s="18">
        <f t="shared" si="32"/>
        <v>149.6</v>
      </c>
      <c r="M68" s="2">
        <f t="shared" si="35"/>
        <v>160.80000000000001</v>
      </c>
      <c r="N68" s="200">
        <f t="shared" si="34"/>
        <v>631.6</v>
      </c>
      <c r="O68" s="135"/>
      <c r="P68" s="214"/>
      <c r="Q68" s="215">
        <v>587</v>
      </c>
      <c r="R68" s="216">
        <v>1058</v>
      </c>
      <c r="S68" s="216">
        <v>64</v>
      </c>
      <c r="T68" s="216">
        <v>662</v>
      </c>
      <c r="U68" s="216">
        <v>30</v>
      </c>
      <c r="V68" s="216">
        <v>160</v>
      </c>
      <c r="W68" s="216">
        <v>157</v>
      </c>
      <c r="X68" s="216">
        <v>148</v>
      </c>
      <c r="Y68" s="216">
        <v>49</v>
      </c>
      <c r="Z68" s="216">
        <v>9</v>
      </c>
      <c r="AA68" s="216">
        <v>1317</v>
      </c>
      <c r="AB68" s="216">
        <v>1699</v>
      </c>
      <c r="AC68" s="216">
        <v>676</v>
      </c>
      <c r="AD68" s="216"/>
      <c r="AE68" s="216"/>
      <c r="AF68" s="216">
        <v>0</v>
      </c>
      <c r="AG68" s="216">
        <v>250</v>
      </c>
      <c r="AH68" s="216">
        <v>11</v>
      </c>
      <c r="AI68" s="216">
        <v>44</v>
      </c>
      <c r="AJ68" s="216">
        <v>545</v>
      </c>
      <c r="AK68" s="217">
        <v>186</v>
      </c>
      <c r="AL68" s="130"/>
      <c r="AM68" s="130"/>
      <c r="AN68" s="218"/>
      <c r="AS68" s="1">
        <f t="shared" ref="AS68:AS80" si="37">K68*7.5</f>
        <v>587</v>
      </c>
      <c r="AT68" s="1">
        <f t="shared" ref="AT68:AT80" si="38">L68*7.5</f>
        <v>1122</v>
      </c>
      <c r="AU68" s="1">
        <f t="shared" ref="AU68:AU80" si="39">M68*7.5</f>
        <v>1206</v>
      </c>
      <c r="AV68" s="1">
        <f t="shared" ref="AV68:AV80" si="40">N68*7.5</f>
        <v>4737</v>
      </c>
    </row>
    <row r="69" spans="1:48" ht="14" customHeight="1">
      <c r="A69" s="14" t="s">
        <v>424</v>
      </c>
      <c r="B69" s="8" t="s">
        <v>427</v>
      </c>
      <c r="C69" s="8" t="str">
        <f t="shared" si="36"/>
        <v>Philippineskh.br.as.phl.07</v>
      </c>
      <c r="D69" s="8" t="s">
        <v>448</v>
      </c>
      <c r="E69" s="8" t="s">
        <v>449</v>
      </c>
      <c r="F69" s="19">
        <v>46913</v>
      </c>
      <c r="G69" s="19">
        <v>47009</v>
      </c>
      <c r="H69" s="186" t="s">
        <v>226</v>
      </c>
      <c r="I69" s="8" t="s">
        <v>254</v>
      </c>
      <c r="J69" s="8" t="s">
        <v>7</v>
      </c>
      <c r="K69" s="293">
        <f t="shared" si="31"/>
        <v>23.466666666666665</v>
      </c>
      <c r="L69" s="18">
        <f t="shared" si="32"/>
        <v>44.93333333333333</v>
      </c>
      <c r="M69" s="2">
        <f t="shared" si="35"/>
        <v>48.266666666666666</v>
      </c>
      <c r="N69" s="200">
        <f t="shared" si="34"/>
        <v>189.86666666666667</v>
      </c>
      <c r="O69" s="135"/>
      <c r="P69" s="214"/>
      <c r="Q69" s="215">
        <v>176</v>
      </c>
      <c r="R69" s="216">
        <v>318</v>
      </c>
      <c r="S69" s="216">
        <v>19</v>
      </c>
      <c r="T69" s="216">
        <v>199</v>
      </c>
      <c r="U69" s="216">
        <v>9</v>
      </c>
      <c r="V69" s="216">
        <v>48</v>
      </c>
      <c r="W69" s="216">
        <v>47</v>
      </c>
      <c r="X69" s="216">
        <v>44</v>
      </c>
      <c r="Y69" s="216">
        <v>15</v>
      </c>
      <c r="Z69" s="216">
        <v>3</v>
      </c>
      <c r="AA69" s="216">
        <v>396</v>
      </c>
      <c r="AB69" s="216">
        <v>511</v>
      </c>
      <c r="AC69" s="216">
        <v>203</v>
      </c>
      <c r="AD69" s="216"/>
      <c r="AE69" s="216"/>
      <c r="AF69" s="216">
        <v>0</v>
      </c>
      <c r="AG69" s="216">
        <v>75</v>
      </c>
      <c r="AH69" s="216">
        <v>3</v>
      </c>
      <c r="AI69" s="216">
        <v>13</v>
      </c>
      <c r="AJ69" s="216">
        <v>164</v>
      </c>
      <c r="AK69" s="217">
        <v>56</v>
      </c>
      <c r="AL69" s="130"/>
      <c r="AM69" s="130"/>
      <c r="AN69" s="218"/>
      <c r="AS69" s="1">
        <f t="shared" si="37"/>
        <v>176</v>
      </c>
      <c r="AT69" s="1">
        <f t="shared" si="38"/>
        <v>337</v>
      </c>
      <c r="AU69" s="1">
        <f t="shared" si="39"/>
        <v>362</v>
      </c>
      <c r="AV69" s="1">
        <f t="shared" si="40"/>
        <v>1424</v>
      </c>
    </row>
    <row r="70" spans="1:48" ht="14" customHeight="1">
      <c r="A70" s="14" t="s">
        <v>424</v>
      </c>
      <c r="B70" s="8" t="s">
        <v>427</v>
      </c>
      <c r="C70" s="8" t="str">
        <f t="shared" si="36"/>
        <v>Philippineskh.br.as.phl.04</v>
      </c>
      <c r="D70" s="8" t="s">
        <v>450</v>
      </c>
      <c r="E70" s="8" t="s">
        <v>451</v>
      </c>
      <c r="F70" s="19">
        <v>46926</v>
      </c>
      <c r="G70" s="19">
        <v>47024</v>
      </c>
      <c r="H70" s="186" t="s">
        <v>226</v>
      </c>
      <c r="I70" s="8" t="s">
        <v>254</v>
      </c>
      <c r="J70" s="8" t="s">
        <v>7</v>
      </c>
      <c r="K70" s="293">
        <f t="shared" si="31"/>
        <v>72</v>
      </c>
      <c r="L70" s="18">
        <f t="shared" si="32"/>
        <v>137.73333333333332</v>
      </c>
      <c r="M70" s="2">
        <f t="shared" si="35"/>
        <v>148</v>
      </c>
      <c r="N70" s="200">
        <f t="shared" si="34"/>
        <v>581.86666666666667</v>
      </c>
      <c r="O70" s="135"/>
      <c r="P70" s="214"/>
      <c r="Q70" s="215">
        <v>540</v>
      </c>
      <c r="R70" s="216">
        <v>974</v>
      </c>
      <c r="S70" s="216">
        <v>59</v>
      </c>
      <c r="T70" s="216">
        <v>610</v>
      </c>
      <c r="U70" s="216">
        <v>28</v>
      </c>
      <c r="V70" s="216">
        <v>147</v>
      </c>
      <c r="W70" s="216">
        <v>144</v>
      </c>
      <c r="X70" s="216">
        <v>136</v>
      </c>
      <c r="Y70" s="216">
        <v>45</v>
      </c>
      <c r="Z70" s="216">
        <v>8</v>
      </c>
      <c r="AA70" s="216">
        <v>1214</v>
      </c>
      <c r="AB70" s="216">
        <v>1565</v>
      </c>
      <c r="AC70" s="216">
        <v>622</v>
      </c>
      <c r="AD70" s="216"/>
      <c r="AE70" s="216"/>
      <c r="AF70" s="216">
        <v>0</v>
      </c>
      <c r="AG70" s="216">
        <v>231</v>
      </c>
      <c r="AH70" s="216">
        <v>10</v>
      </c>
      <c r="AI70" s="216">
        <v>41</v>
      </c>
      <c r="AJ70" s="216">
        <v>502</v>
      </c>
      <c r="AK70" s="217">
        <v>171</v>
      </c>
      <c r="AL70" s="130"/>
      <c r="AM70" s="130"/>
      <c r="AN70" s="218"/>
      <c r="AS70" s="1">
        <f t="shared" si="37"/>
        <v>540</v>
      </c>
      <c r="AT70" s="1">
        <f t="shared" si="38"/>
        <v>1033</v>
      </c>
      <c r="AU70" s="1">
        <f t="shared" si="39"/>
        <v>1110</v>
      </c>
      <c r="AV70" s="1">
        <f t="shared" si="40"/>
        <v>4364</v>
      </c>
    </row>
    <row r="71" spans="1:48" ht="14" customHeight="1">
      <c r="A71" s="14" t="s">
        <v>424</v>
      </c>
      <c r="B71" s="8" t="s">
        <v>427</v>
      </c>
      <c r="C71" s="8" t="str">
        <f t="shared" si="36"/>
        <v>Philippineskh.br.as.phl.05</v>
      </c>
      <c r="D71" s="8" t="s">
        <v>452</v>
      </c>
      <c r="E71" s="8" t="s">
        <v>453</v>
      </c>
      <c r="F71" s="19">
        <v>46944</v>
      </c>
      <c r="G71" s="19">
        <v>47040</v>
      </c>
      <c r="H71" s="186" t="s">
        <v>226</v>
      </c>
      <c r="I71" s="8" t="s">
        <v>254</v>
      </c>
      <c r="J71" s="8" t="s">
        <v>7</v>
      </c>
      <c r="K71" s="293">
        <f t="shared" si="31"/>
        <v>93.86666666666666</v>
      </c>
      <c r="L71" s="18">
        <f t="shared" si="32"/>
        <v>179.6</v>
      </c>
      <c r="M71" s="2">
        <f t="shared" si="35"/>
        <v>193.2</v>
      </c>
      <c r="N71" s="200">
        <f t="shared" si="34"/>
        <v>758.4</v>
      </c>
      <c r="O71" s="135"/>
      <c r="P71" s="214"/>
      <c r="Q71" s="215">
        <v>704</v>
      </c>
      <c r="R71" s="216">
        <v>1270</v>
      </c>
      <c r="S71" s="216">
        <v>77</v>
      </c>
      <c r="T71" s="216">
        <v>796</v>
      </c>
      <c r="U71" s="216">
        <v>37</v>
      </c>
      <c r="V71" s="216">
        <v>192</v>
      </c>
      <c r="W71" s="216">
        <v>188</v>
      </c>
      <c r="X71" s="216">
        <v>177</v>
      </c>
      <c r="Y71" s="216">
        <v>59</v>
      </c>
      <c r="Z71" s="216">
        <v>10</v>
      </c>
      <c r="AA71" s="216">
        <v>1582</v>
      </c>
      <c r="AB71" s="216">
        <v>2040</v>
      </c>
      <c r="AC71" s="216">
        <v>812</v>
      </c>
      <c r="AD71" s="216"/>
      <c r="AE71" s="216"/>
      <c r="AF71" s="216">
        <v>0</v>
      </c>
      <c r="AG71" s="216">
        <v>301</v>
      </c>
      <c r="AH71" s="216">
        <v>13</v>
      </c>
      <c r="AI71" s="216">
        <v>53</v>
      </c>
      <c r="AJ71" s="216">
        <v>654</v>
      </c>
      <c r="AK71" s="217">
        <v>223</v>
      </c>
      <c r="AL71" s="130"/>
      <c r="AM71" s="130"/>
      <c r="AN71" s="218"/>
      <c r="AS71" s="1">
        <f t="shared" si="37"/>
        <v>704</v>
      </c>
      <c r="AT71" s="1">
        <f t="shared" si="38"/>
        <v>1347</v>
      </c>
      <c r="AU71" s="1">
        <f t="shared" si="39"/>
        <v>1449</v>
      </c>
      <c r="AV71" s="1">
        <f t="shared" si="40"/>
        <v>5688</v>
      </c>
    </row>
    <row r="72" spans="1:48" ht="14" customHeight="1">
      <c r="A72" s="14" t="s">
        <v>424</v>
      </c>
      <c r="B72" s="8" t="s">
        <v>427</v>
      </c>
      <c r="C72" s="8" t="str">
        <f t="shared" si="36"/>
        <v>Philippineskh.br.as.phl.02</v>
      </c>
      <c r="D72" s="8" t="s">
        <v>454</v>
      </c>
      <c r="E72" s="8" t="s">
        <v>455</v>
      </c>
      <c r="F72" s="19">
        <v>46945</v>
      </c>
      <c r="G72" s="19">
        <v>47041</v>
      </c>
      <c r="H72" s="186" t="s">
        <v>226</v>
      </c>
      <c r="I72" s="8" t="s">
        <v>254</v>
      </c>
      <c r="J72" s="8" t="s">
        <v>7</v>
      </c>
      <c r="K72" s="293">
        <f t="shared" si="31"/>
        <v>6.9333333333333336</v>
      </c>
      <c r="L72" s="18">
        <f t="shared" si="32"/>
        <v>13.333333333333334</v>
      </c>
      <c r="M72" s="2">
        <f t="shared" si="35"/>
        <v>14.266666666666667</v>
      </c>
      <c r="N72" s="200">
        <f t="shared" si="34"/>
        <v>56</v>
      </c>
      <c r="O72" s="135"/>
      <c r="P72" s="214"/>
      <c r="Q72" s="215">
        <v>52</v>
      </c>
      <c r="R72" s="216">
        <v>94</v>
      </c>
      <c r="S72" s="216">
        <v>6</v>
      </c>
      <c r="T72" s="216">
        <v>59</v>
      </c>
      <c r="U72" s="216">
        <v>3</v>
      </c>
      <c r="V72" s="216">
        <v>14</v>
      </c>
      <c r="W72" s="216">
        <v>14</v>
      </c>
      <c r="X72" s="216">
        <v>13</v>
      </c>
      <c r="Y72" s="216">
        <v>4</v>
      </c>
      <c r="Z72" s="216">
        <v>1</v>
      </c>
      <c r="AA72" s="216">
        <v>117</v>
      </c>
      <c r="AB72" s="216">
        <v>151</v>
      </c>
      <c r="AC72" s="216">
        <v>60</v>
      </c>
      <c r="AD72" s="216"/>
      <c r="AE72" s="216"/>
      <c r="AF72" s="216">
        <v>0</v>
      </c>
      <c r="AG72" s="216">
        <v>22</v>
      </c>
      <c r="AH72" s="216">
        <v>1</v>
      </c>
      <c r="AI72" s="216">
        <v>4</v>
      </c>
      <c r="AJ72" s="216">
        <v>48</v>
      </c>
      <c r="AK72" s="217">
        <v>16</v>
      </c>
      <c r="AL72" s="130"/>
      <c r="AM72" s="130"/>
      <c r="AN72" s="218"/>
      <c r="AS72" s="1">
        <f t="shared" si="37"/>
        <v>52</v>
      </c>
      <c r="AT72" s="1">
        <f t="shared" si="38"/>
        <v>100</v>
      </c>
      <c r="AU72" s="1">
        <f t="shared" si="39"/>
        <v>107</v>
      </c>
      <c r="AV72" s="1">
        <f t="shared" si="40"/>
        <v>420</v>
      </c>
    </row>
    <row r="73" spans="1:48" ht="14" customHeight="1">
      <c r="A73" s="14" t="s">
        <v>424</v>
      </c>
      <c r="B73" s="8" t="s">
        <v>427</v>
      </c>
      <c r="C73" s="8" t="str">
        <f t="shared" si="36"/>
        <v>Philippineskh.br.as.phl.03</v>
      </c>
      <c r="D73" s="8" t="s">
        <v>456</v>
      </c>
      <c r="E73" s="8" t="s">
        <v>457</v>
      </c>
      <c r="F73" s="19">
        <v>46948</v>
      </c>
      <c r="G73" s="19">
        <v>47045</v>
      </c>
      <c r="H73" s="186" t="s">
        <v>226</v>
      </c>
      <c r="I73" s="8" t="s">
        <v>254</v>
      </c>
      <c r="J73" s="8" t="s">
        <v>7</v>
      </c>
      <c r="K73" s="293">
        <f t="shared" si="31"/>
        <v>14.266666666666667</v>
      </c>
      <c r="L73" s="18">
        <f t="shared" si="32"/>
        <v>27.333333333333332</v>
      </c>
      <c r="M73" s="2">
        <f t="shared" si="35"/>
        <v>29.466666666666665</v>
      </c>
      <c r="N73" s="200">
        <f t="shared" si="34"/>
        <v>115.2</v>
      </c>
      <c r="O73" s="135"/>
      <c r="P73" s="214"/>
      <c r="Q73" s="215">
        <v>107</v>
      </c>
      <c r="R73" s="216">
        <v>193</v>
      </c>
      <c r="S73" s="216">
        <v>12</v>
      </c>
      <c r="T73" s="216">
        <v>121</v>
      </c>
      <c r="U73" s="216">
        <v>6</v>
      </c>
      <c r="V73" s="216">
        <v>29</v>
      </c>
      <c r="W73" s="216">
        <v>29</v>
      </c>
      <c r="X73" s="216">
        <v>27</v>
      </c>
      <c r="Y73" s="216">
        <v>9</v>
      </c>
      <c r="Z73" s="216">
        <v>2</v>
      </c>
      <c r="AA73" s="216">
        <v>240</v>
      </c>
      <c r="AB73" s="216">
        <v>310</v>
      </c>
      <c r="AC73" s="216">
        <v>123</v>
      </c>
      <c r="AD73" s="216"/>
      <c r="AE73" s="216"/>
      <c r="AF73" s="216">
        <v>0</v>
      </c>
      <c r="AG73" s="216">
        <v>46</v>
      </c>
      <c r="AH73" s="216">
        <v>2</v>
      </c>
      <c r="AI73" s="216">
        <v>8</v>
      </c>
      <c r="AJ73" s="216">
        <v>99</v>
      </c>
      <c r="AK73" s="217">
        <v>34</v>
      </c>
      <c r="AL73" s="130"/>
      <c r="AM73" s="130"/>
      <c r="AN73" s="218"/>
      <c r="AS73" s="1">
        <f t="shared" si="37"/>
        <v>107</v>
      </c>
      <c r="AT73" s="1">
        <f t="shared" si="38"/>
        <v>205</v>
      </c>
      <c r="AU73" s="1">
        <f t="shared" si="39"/>
        <v>221</v>
      </c>
      <c r="AV73" s="1">
        <f t="shared" si="40"/>
        <v>864</v>
      </c>
    </row>
    <row r="74" spans="1:48" ht="14" customHeight="1">
      <c r="A74" s="14" t="s">
        <v>424</v>
      </c>
      <c r="B74" s="8" t="s">
        <v>427</v>
      </c>
      <c r="C74" s="8" t="str">
        <f t="shared" si="36"/>
        <v>Philippineskh.br.as.phl.01</v>
      </c>
      <c r="D74" s="8" t="s">
        <v>458</v>
      </c>
      <c r="E74" s="8" t="s">
        <v>459</v>
      </c>
      <c r="F74" s="19">
        <v>46954</v>
      </c>
      <c r="G74" s="19">
        <v>47049</v>
      </c>
      <c r="H74" s="186" t="s">
        <v>226</v>
      </c>
      <c r="I74" s="8" t="s">
        <v>254</v>
      </c>
      <c r="J74" s="8" t="s">
        <v>7</v>
      </c>
      <c r="K74" s="293">
        <f t="shared" si="31"/>
        <v>20.533333333333335</v>
      </c>
      <c r="L74" s="18">
        <f t="shared" si="32"/>
        <v>39.200000000000003</v>
      </c>
      <c r="M74" s="2">
        <f t="shared" si="35"/>
        <v>42.266666666666666</v>
      </c>
      <c r="N74" s="200">
        <f t="shared" si="34"/>
        <v>165.6</v>
      </c>
      <c r="O74" s="135"/>
      <c r="P74" s="214"/>
      <c r="Q74" s="215">
        <v>154</v>
      </c>
      <c r="R74" s="216">
        <v>277</v>
      </c>
      <c r="S74" s="216">
        <v>17</v>
      </c>
      <c r="T74" s="216">
        <v>174</v>
      </c>
      <c r="U74" s="216">
        <v>8</v>
      </c>
      <c r="V74" s="216">
        <v>42</v>
      </c>
      <c r="W74" s="216">
        <v>41</v>
      </c>
      <c r="X74" s="216">
        <v>39</v>
      </c>
      <c r="Y74" s="216">
        <v>13</v>
      </c>
      <c r="Z74" s="216">
        <v>2</v>
      </c>
      <c r="AA74" s="216">
        <v>345</v>
      </c>
      <c r="AB74" s="216">
        <v>445</v>
      </c>
      <c r="AC74" s="216">
        <v>177</v>
      </c>
      <c r="AD74" s="216"/>
      <c r="AE74" s="216"/>
      <c r="AF74" s="216">
        <v>0</v>
      </c>
      <c r="AG74" s="216">
        <v>66</v>
      </c>
      <c r="AH74" s="216">
        <v>3</v>
      </c>
      <c r="AI74" s="216">
        <v>12</v>
      </c>
      <c r="AJ74" s="216">
        <v>143</v>
      </c>
      <c r="AK74" s="217">
        <v>49</v>
      </c>
      <c r="AL74" s="130"/>
      <c r="AM74" s="130"/>
      <c r="AN74" s="218"/>
      <c r="AS74" s="1">
        <f t="shared" si="37"/>
        <v>154</v>
      </c>
      <c r="AT74" s="1">
        <f t="shared" si="38"/>
        <v>294</v>
      </c>
      <c r="AU74" s="1">
        <f t="shared" si="39"/>
        <v>317</v>
      </c>
      <c r="AV74" s="1">
        <f t="shared" si="40"/>
        <v>1242</v>
      </c>
    </row>
    <row r="75" spans="1:48" ht="14" customHeight="1">
      <c r="A75" s="14" t="s">
        <v>424</v>
      </c>
      <c r="B75" s="8" t="s">
        <v>428</v>
      </c>
      <c r="C75" s="8" t="str">
        <f t="shared" si="36"/>
        <v>Philippineskh.br.as.phl.17</v>
      </c>
      <c r="D75" s="8" t="s">
        <v>460</v>
      </c>
      <c r="E75" s="8" t="s">
        <v>461</v>
      </c>
      <c r="F75" s="19">
        <v>46956</v>
      </c>
      <c r="G75" s="19">
        <v>47050</v>
      </c>
      <c r="H75" s="186" t="s">
        <v>226</v>
      </c>
      <c r="I75" s="8" t="s">
        <v>254</v>
      </c>
      <c r="J75" s="8" t="s">
        <v>7</v>
      </c>
      <c r="K75" s="293">
        <f t="shared" si="31"/>
        <v>19.066666666666666</v>
      </c>
      <c r="L75" s="18">
        <f t="shared" si="32"/>
        <v>36.666666666666664</v>
      </c>
      <c r="M75" s="2">
        <f t="shared" si="35"/>
        <v>39.200000000000003</v>
      </c>
      <c r="N75" s="200">
        <f t="shared" si="34"/>
        <v>154.26666666666668</v>
      </c>
      <c r="O75" s="135"/>
      <c r="P75" s="214"/>
      <c r="Q75" s="215">
        <v>143</v>
      </c>
      <c r="R75" s="216">
        <v>259</v>
      </c>
      <c r="S75" s="216">
        <v>16</v>
      </c>
      <c r="T75" s="216">
        <v>162</v>
      </c>
      <c r="U75" s="216">
        <v>7</v>
      </c>
      <c r="V75" s="216">
        <v>39</v>
      </c>
      <c r="W75" s="216">
        <v>38</v>
      </c>
      <c r="X75" s="216">
        <v>36</v>
      </c>
      <c r="Y75" s="216">
        <v>12</v>
      </c>
      <c r="Z75" s="216">
        <v>2</v>
      </c>
      <c r="AA75" s="216">
        <v>322</v>
      </c>
      <c r="AB75" s="216">
        <v>415</v>
      </c>
      <c r="AC75" s="216">
        <v>165</v>
      </c>
      <c r="AD75" s="216"/>
      <c r="AE75" s="216"/>
      <c r="AF75" s="216">
        <v>0</v>
      </c>
      <c r="AG75" s="216">
        <v>61</v>
      </c>
      <c r="AH75" s="216">
        <v>3</v>
      </c>
      <c r="AI75" s="216">
        <v>11</v>
      </c>
      <c r="AJ75" s="216">
        <v>133</v>
      </c>
      <c r="AK75" s="217">
        <v>45</v>
      </c>
      <c r="AL75" s="130"/>
      <c r="AM75" s="130"/>
      <c r="AN75" s="218"/>
      <c r="AS75" s="1">
        <f t="shared" si="37"/>
        <v>143</v>
      </c>
      <c r="AT75" s="1">
        <f t="shared" si="38"/>
        <v>275</v>
      </c>
      <c r="AU75" s="1">
        <f t="shared" si="39"/>
        <v>294</v>
      </c>
      <c r="AV75" s="1">
        <f t="shared" si="40"/>
        <v>1157</v>
      </c>
    </row>
    <row r="76" spans="1:48" ht="14" customHeight="1">
      <c r="A76" s="14" t="s">
        <v>424</v>
      </c>
      <c r="B76" s="8" t="s">
        <v>428</v>
      </c>
      <c r="C76" s="8" t="str">
        <f t="shared" si="36"/>
        <v>Philippineskh.br.as.phl.15</v>
      </c>
      <c r="D76" s="8" t="s">
        <v>462</v>
      </c>
      <c r="E76" s="8" t="s">
        <v>463</v>
      </c>
      <c r="F76" s="19">
        <v>46962</v>
      </c>
      <c r="G76" s="19">
        <v>47056</v>
      </c>
      <c r="H76" s="186" t="s">
        <v>226</v>
      </c>
      <c r="I76" s="8" t="s">
        <v>254</v>
      </c>
      <c r="J76" s="8" t="s">
        <v>7</v>
      </c>
      <c r="K76" s="293">
        <f t="shared" si="31"/>
        <v>16.933333333333334</v>
      </c>
      <c r="L76" s="18">
        <f t="shared" si="32"/>
        <v>32.266666666666666</v>
      </c>
      <c r="M76" s="2">
        <f t="shared" si="35"/>
        <v>34.93333333333333</v>
      </c>
      <c r="N76" s="200">
        <f t="shared" si="34"/>
        <v>136.13333333333333</v>
      </c>
      <c r="O76" s="135"/>
      <c r="P76" s="214"/>
      <c r="Q76" s="215">
        <v>127</v>
      </c>
      <c r="R76" s="216">
        <v>228</v>
      </c>
      <c r="S76" s="216">
        <v>14</v>
      </c>
      <c r="T76" s="216">
        <v>143</v>
      </c>
      <c r="U76" s="216">
        <v>7</v>
      </c>
      <c r="V76" s="216">
        <v>35</v>
      </c>
      <c r="W76" s="216">
        <v>34</v>
      </c>
      <c r="X76" s="216">
        <v>32</v>
      </c>
      <c r="Y76" s="216">
        <v>11</v>
      </c>
      <c r="Z76" s="216">
        <v>2</v>
      </c>
      <c r="AA76" s="216">
        <v>284</v>
      </c>
      <c r="AB76" s="216">
        <v>366</v>
      </c>
      <c r="AC76" s="216">
        <v>146</v>
      </c>
      <c r="AD76" s="216"/>
      <c r="AE76" s="216"/>
      <c r="AF76" s="216">
        <v>0</v>
      </c>
      <c r="AG76" s="216">
        <v>54</v>
      </c>
      <c r="AH76" s="216">
        <v>2</v>
      </c>
      <c r="AI76" s="216">
        <v>10</v>
      </c>
      <c r="AJ76" s="216">
        <v>117</v>
      </c>
      <c r="AK76" s="217">
        <v>40</v>
      </c>
      <c r="AL76" s="130"/>
      <c r="AM76" s="130"/>
      <c r="AN76" s="218"/>
      <c r="AS76" s="1">
        <f t="shared" si="37"/>
        <v>127</v>
      </c>
      <c r="AT76" s="1">
        <f t="shared" si="38"/>
        <v>242</v>
      </c>
      <c r="AU76" s="1">
        <f t="shared" si="39"/>
        <v>262</v>
      </c>
      <c r="AV76" s="1">
        <f t="shared" si="40"/>
        <v>1021</v>
      </c>
    </row>
    <row r="77" spans="1:48" ht="14" customHeight="1">
      <c r="A77" s="14" t="s">
        <v>424</v>
      </c>
      <c r="B77" s="8" t="s">
        <v>428</v>
      </c>
      <c r="C77" s="8" t="str">
        <f t="shared" si="36"/>
        <v>Philippineskh.br.as.phl.16</v>
      </c>
      <c r="D77" s="8" t="s">
        <v>464</v>
      </c>
      <c r="E77" s="8" t="s">
        <v>465</v>
      </c>
      <c r="F77" s="19">
        <v>46964</v>
      </c>
      <c r="G77" s="19">
        <v>47059</v>
      </c>
      <c r="H77" s="186" t="s">
        <v>226</v>
      </c>
      <c r="I77" s="8" t="s">
        <v>254</v>
      </c>
      <c r="J77" s="8" t="s">
        <v>7</v>
      </c>
      <c r="K77" s="293">
        <f t="shared" si="31"/>
        <v>10.8</v>
      </c>
      <c r="L77" s="18">
        <f t="shared" si="32"/>
        <v>20.8</v>
      </c>
      <c r="M77" s="2">
        <f t="shared" si="35"/>
        <v>22.4</v>
      </c>
      <c r="N77" s="200">
        <f t="shared" si="34"/>
        <v>87.86666666666666</v>
      </c>
      <c r="O77" s="135"/>
      <c r="P77" s="214"/>
      <c r="Q77" s="215">
        <v>81</v>
      </c>
      <c r="R77" s="216">
        <v>147</v>
      </c>
      <c r="S77" s="216">
        <v>9</v>
      </c>
      <c r="T77" s="216">
        <v>92</v>
      </c>
      <c r="U77" s="216">
        <v>4</v>
      </c>
      <c r="V77" s="216">
        <v>22</v>
      </c>
      <c r="W77" s="216">
        <v>22</v>
      </c>
      <c r="X77" s="216">
        <v>21</v>
      </c>
      <c r="Y77" s="216">
        <v>7</v>
      </c>
      <c r="Z77" s="216">
        <v>1</v>
      </c>
      <c r="AA77" s="216">
        <v>183</v>
      </c>
      <c r="AB77" s="216">
        <v>236</v>
      </c>
      <c r="AC77" s="216">
        <v>94</v>
      </c>
      <c r="AD77" s="216"/>
      <c r="AE77" s="216"/>
      <c r="AF77" s="216">
        <v>0</v>
      </c>
      <c r="AG77" s="216">
        <v>35</v>
      </c>
      <c r="AH77" s="216">
        <v>2</v>
      </c>
      <c r="AI77" s="216">
        <v>6</v>
      </c>
      <c r="AJ77" s="216">
        <v>76</v>
      </c>
      <c r="AK77" s="217">
        <v>26</v>
      </c>
      <c r="AL77" s="130"/>
      <c r="AM77" s="130"/>
      <c r="AN77" s="218"/>
      <c r="AS77" s="1">
        <f t="shared" si="37"/>
        <v>81</v>
      </c>
      <c r="AT77" s="1">
        <f t="shared" si="38"/>
        <v>156</v>
      </c>
      <c r="AU77" s="1">
        <f t="shared" si="39"/>
        <v>168</v>
      </c>
      <c r="AV77" s="1">
        <f t="shared" si="40"/>
        <v>659</v>
      </c>
    </row>
    <row r="78" spans="1:48" ht="14" customHeight="1">
      <c r="A78" s="14" t="s">
        <v>424</v>
      </c>
      <c r="B78" s="8" t="s">
        <v>428</v>
      </c>
      <c r="C78" s="8" t="str">
        <f t="shared" si="36"/>
        <v>Philippineskh.br.as.phl.13</v>
      </c>
      <c r="D78" s="8" t="s">
        <v>466</v>
      </c>
      <c r="E78" s="8" t="s">
        <v>467</v>
      </c>
      <c r="F78" s="19">
        <v>46970</v>
      </c>
      <c r="G78" s="19">
        <v>47064</v>
      </c>
      <c r="H78" s="186" t="s">
        <v>226</v>
      </c>
      <c r="I78" s="8" t="s">
        <v>254</v>
      </c>
      <c r="J78" s="8" t="s">
        <v>7</v>
      </c>
      <c r="K78" s="293">
        <f t="shared" si="31"/>
        <v>19.466666666666665</v>
      </c>
      <c r="L78" s="18">
        <f t="shared" si="32"/>
        <v>37.200000000000003</v>
      </c>
      <c r="M78" s="2">
        <f t="shared" si="35"/>
        <v>40</v>
      </c>
      <c r="N78" s="200">
        <f t="shared" si="34"/>
        <v>156.80000000000001</v>
      </c>
      <c r="O78" s="135"/>
      <c r="P78" s="214"/>
      <c r="Q78" s="215">
        <v>146</v>
      </c>
      <c r="R78" s="216">
        <v>263</v>
      </c>
      <c r="S78" s="216">
        <v>16</v>
      </c>
      <c r="T78" s="216">
        <v>164</v>
      </c>
      <c r="U78" s="216">
        <v>8</v>
      </c>
      <c r="V78" s="216">
        <v>40</v>
      </c>
      <c r="W78" s="216">
        <v>39</v>
      </c>
      <c r="X78" s="216">
        <v>37</v>
      </c>
      <c r="Y78" s="216">
        <v>12</v>
      </c>
      <c r="Z78" s="216">
        <v>2</v>
      </c>
      <c r="AA78" s="216">
        <v>327</v>
      </c>
      <c r="AB78" s="216">
        <v>422</v>
      </c>
      <c r="AC78" s="216">
        <v>168</v>
      </c>
      <c r="AD78" s="216"/>
      <c r="AE78" s="216"/>
      <c r="AF78" s="216">
        <v>0</v>
      </c>
      <c r="AG78" s="216">
        <v>62</v>
      </c>
      <c r="AH78" s="216">
        <v>3</v>
      </c>
      <c r="AI78" s="216">
        <v>11</v>
      </c>
      <c r="AJ78" s="216">
        <v>135</v>
      </c>
      <c r="AK78" s="217">
        <v>46</v>
      </c>
      <c r="AL78" s="130"/>
      <c r="AM78" s="130"/>
      <c r="AN78" s="218"/>
      <c r="AS78" s="1">
        <f t="shared" si="37"/>
        <v>146</v>
      </c>
      <c r="AT78" s="1">
        <f t="shared" si="38"/>
        <v>279</v>
      </c>
      <c r="AU78" s="1">
        <f t="shared" si="39"/>
        <v>300</v>
      </c>
      <c r="AV78" s="1">
        <f t="shared" si="40"/>
        <v>1176</v>
      </c>
    </row>
    <row r="79" spans="1:48" ht="14" customHeight="1">
      <c r="A79" s="14" t="s">
        <v>424</v>
      </c>
      <c r="B79" s="8" t="s">
        <v>428</v>
      </c>
      <c r="C79" s="8" t="str">
        <f t="shared" si="36"/>
        <v>Philippineskh.br.as.phl.14</v>
      </c>
      <c r="D79" s="8" t="s">
        <v>468</v>
      </c>
      <c r="E79" s="8" t="s">
        <v>469</v>
      </c>
      <c r="F79" s="19">
        <v>46976</v>
      </c>
      <c r="G79" s="19">
        <v>47070</v>
      </c>
      <c r="H79" s="186" t="s">
        <v>226</v>
      </c>
      <c r="I79" s="8" t="s">
        <v>254</v>
      </c>
      <c r="J79" s="8" t="s">
        <v>7</v>
      </c>
      <c r="K79" s="293">
        <f t="shared" si="31"/>
        <v>20.266666666666666</v>
      </c>
      <c r="L79" s="18">
        <f t="shared" si="32"/>
        <v>38.799999999999997</v>
      </c>
      <c r="M79" s="2">
        <f t="shared" si="35"/>
        <v>41.733333333333334</v>
      </c>
      <c r="N79" s="200">
        <f t="shared" si="34"/>
        <v>163.6</v>
      </c>
      <c r="O79" s="135"/>
      <c r="P79" s="214"/>
      <c r="Q79" s="215">
        <v>152</v>
      </c>
      <c r="R79" s="216">
        <v>274</v>
      </c>
      <c r="S79" s="216">
        <v>17</v>
      </c>
      <c r="T79" s="216">
        <v>172</v>
      </c>
      <c r="U79" s="216">
        <v>8</v>
      </c>
      <c r="V79" s="216">
        <v>41</v>
      </c>
      <c r="W79" s="216">
        <v>41</v>
      </c>
      <c r="X79" s="216">
        <v>38</v>
      </c>
      <c r="Y79" s="216">
        <v>13</v>
      </c>
      <c r="Z79" s="216">
        <v>2</v>
      </c>
      <c r="AA79" s="216">
        <v>342</v>
      </c>
      <c r="AB79" s="216">
        <v>440</v>
      </c>
      <c r="AC79" s="216">
        <v>175</v>
      </c>
      <c r="AD79" s="216"/>
      <c r="AE79" s="216"/>
      <c r="AF79" s="216">
        <v>0</v>
      </c>
      <c r="AG79" s="216">
        <v>65</v>
      </c>
      <c r="AH79" s="216">
        <v>3</v>
      </c>
      <c r="AI79" s="216">
        <v>11</v>
      </c>
      <c r="AJ79" s="216">
        <v>141</v>
      </c>
      <c r="AK79" s="217">
        <v>48</v>
      </c>
      <c r="AL79" s="130"/>
      <c r="AM79" s="130"/>
      <c r="AN79" s="218"/>
      <c r="AS79" s="1">
        <f t="shared" si="37"/>
        <v>152</v>
      </c>
      <c r="AT79" s="1">
        <f t="shared" si="38"/>
        <v>291</v>
      </c>
      <c r="AU79" s="1">
        <f t="shared" si="39"/>
        <v>313</v>
      </c>
      <c r="AV79" s="1">
        <f t="shared" si="40"/>
        <v>1227</v>
      </c>
    </row>
    <row r="80" spans="1:48" ht="14" customHeight="1" thickBot="1">
      <c r="A80" s="10" t="s">
        <v>424</v>
      </c>
      <c r="B80" s="11" t="s">
        <v>428</v>
      </c>
      <c r="C80" s="11" t="str">
        <f t="shared" si="36"/>
        <v>Philippineskh.br.as.phl.12</v>
      </c>
      <c r="D80" s="11" t="s">
        <v>470</v>
      </c>
      <c r="E80" s="8" t="s">
        <v>471</v>
      </c>
      <c r="F80" s="145">
        <v>46978</v>
      </c>
      <c r="G80" s="145">
        <v>47073</v>
      </c>
      <c r="H80" s="186" t="s">
        <v>226</v>
      </c>
      <c r="I80" s="8" t="s">
        <v>254</v>
      </c>
      <c r="J80" s="8" t="s">
        <v>7</v>
      </c>
      <c r="K80" s="294">
        <f t="shared" si="31"/>
        <v>14.933333333333334</v>
      </c>
      <c r="L80" s="52">
        <f t="shared" si="32"/>
        <v>28.666666666666668</v>
      </c>
      <c r="M80" s="117">
        <f t="shared" si="35"/>
        <v>30.8</v>
      </c>
      <c r="N80" s="202">
        <f t="shared" si="34"/>
        <v>120.8</v>
      </c>
      <c r="O80" s="182"/>
      <c r="P80" s="214"/>
      <c r="Q80" s="219">
        <v>112</v>
      </c>
      <c r="R80" s="220">
        <v>203</v>
      </c>
      <c r="S80" s="220">
        <v>12</v>
      </c>
      <c r="T80" s="220">
        <v>127</v>
      </c>
      <c r="U80" s="220">
        <v>6</v>
      </c>
      <c r="V80" s="220">
        <v>31</v>
      </c>
      <c r="W80" s="220">
        <v>30</v>
      </c>
      <c r="X80" s="220">
        <v>28</v>
      </c>
      <c r="Y80" s="220">
        <v>9</v>
      </c>
      <c r="Z80" s="220">
        <v>2</v>
      </c>
      <c r="AA80" s="220">
        <v>252</v>
      </c>
      <c r="AB80" s="220">
        <v>325</v>
      </c>
      <c r="AC80" s="220">
        <v>129</v>
      </c>
      <c r="AD80" s="220"/>
      <c r="AE80" s="220"/>
      <c r="AF80" s="220">
        <v>0</v>
      </c>
      <c r="AG80" s="220">
        <v>48</v>
      </c>
      <c r="AH80" s="220">
        <v>2</v>
      </c>
      <c r="AI80" s="220">
        <v>8</v>
      </c>
      <c r="AJ80" s="220">
        <v>104</v>
      </c>
      <c r="AK80" s="221">
        <v>36</v>
      </c>
      <c r="AL80" s="131"/>
      <c r="AM80" s="131"/>
      <c r="AN80" s="174"/>
      <c r="AS80" s="1">
        <f t="shared" si="37"/>
        <v>112</v>
      </c>
      <c r="AT80" s="1">
        <f t="shared" si="38"/>
        <v>215</v>
      </c>
      <c r="AU80" s="1">
        <f t="shared" si="39"/>
        <v>231</v>
      </c>
      <c r="AV80" s="1">
        <f t="shared" si="40"/>
        <v>906</v>
      </c>
    </row>
  </sheetData>
  <conditionalFormatting sqref="F11:F20">
    <cfRule type="expression" dxfId="115" priority="52">
      <formula>#REF!</formula>
    </cfRule>
    <cfRule type="expression" dxfId="114" priority="51">
      <formula>#REF!</formula>
    </cfRule>
    <cfRule type="cellIs" dxfId="113" priority="50" operator="equal">
      <formula>#REF!</formula>
    </cfRule>
  </conditionalFormatting>
  <conditionalFormatting sqref="F11:F26">
    <cfRule type="cellIs" dxfId="112" priority="53" operator="equal">
      <formula>#REF!</formula>
    </cfRule>
    <cfRule type="expression" dxfId="111" priority="49">
      <formula>#REF!</formula>
    </cfRule>
    <cfRule type="expression" dxfId="110" priority="42">
      <formula>#REF!</formula>
    </cfRule>
  </conditionalFormatting>
  <conditionalFormatting sqref="F17:F20">
    <cfRule type="expression" dxfId="109" priority="48">
      <formula>#REF!</formula>
    </cfRule>
  </conditionalFormatting>
  <conditionalFormatting sqref="F18:F20">
    <cfRule type="cellIs" dxfId="108" priority="47" operator="equal">
      <formula>#REF!</formula>
    </cfRule>
    <cfRule type="expression" dxfId="107" priority="46">
      <formula>#REF!</formula>
    </cfRule>
  </conditionalFormatting>
  <conditionalFormatting sqref="F18:F21">
    <cfRule type="expression" dxfId="106" priority="45">
      <formula>#REF!</formula>
    </cfRule>
    <cfRule type="cellIs" dxfId="105" priority="44" operator="equal">
      <formula>#REF!</formula>
    </cfRule>
    <cfRule type="expression" dxfId="104" priority="43">
      <formula>#REF!</formula>
    </cfRule>
  </conditionalFormatting>
  <conditionalFormatting sqref="F20:F21">
    <cfRule type="cellIs" dxfId="103" priority="41" operator="equal">
      <formula>#REF!</formula>
    </cfRule>
    <cfRule type="expression" dxfId="102" priority="40">
      <formula>#REF!</formula>
    </cfRule>
    <cfRule type="expression" dxfId="101" priority="39">
      <formula>#REF!</formula>
    </cfRule>
  </conditionalFormatting>
  <conditionalFormatting sqref="F21:F26">
    <cfRule type="cellIs" dxfId="100" priority="38" operator="equal">
      <formula>#REF!</formula>
    </cfRule>
    <cfRule type="expression" dxfId="99" priority="37">
      <formula>#REF!</formula>
    </cfRule>
    <cfRule type="expression" dxfId="98" priority="36">
      <formula>#REF!</formula>
    </cfRule>
  </conditionalFormatting>
  <conditionalFormatting sqref="F25:F26">
    <cfRule type="expression" dxfId="97" priority="55">
      <formula>#REF!</formula>
    </cfRule>
    <cfRule type="expression" dxfId="96" priority="54">
      <formula>#REF!</formula>
    </cfRule>
    <cfRule type="cellIs" dxfId="95" priority="56" operator="equal">
      <formula>#REF!</formula>
    </cfRule>
  </conditionalFormatting>
  <conditionalFormatting sqref="F29">
    <cfRule type="containsText" dxfId="94" priority="31" operator="containsText" text="False">
      <formula>NOT(ISERROR(SEARCH("False",F29)))</formula>
    </cfRule>
  </conditionalFormatting>
  <conditionalFormatting sqref="F32">
    <cfRule type="expression" dxfId="93" priority="32">
      <formula>#REF!</formula>
    </cfRule>
    <cfRule type="cellIs" dxfId="92" priority="33" operator="equal">
      <formula>#REF!</formula>
    </cfRule>
    <cfRule type="expression" dxfId="91" priority="34">
      <formula>#REF!</formula>
    </cfRule>
    <cfRule type="expression" dxfId="90" priority="35">
      <formula>#REF!</formula>
    </cfRule>
  </conditionalFormatting>
  <conditionalFormatting sqref="F37:G80">
    <cfRule type="cellIs" dxfId="89" priority="29" operator="equal">
      <formula>#REF!</formula>
    </cfRule>
    <cfRule type="expression" dxfId="88" priority="28">
      <formula>#REF!</formula>
    </cfRule>
    <cfRule type="expression" dxfId="87" priority="30">
      <formula>#REF!</formula>
    </cfRule>
  </conditionalFormatting>
  <conditionalFormatting sqref="G14">
    <cfRule type="containsText" dxfId="86" priority="7" operator="containsText" text="1-Jan-2025">
      <formula>NOT(ISERROR(SEARCH("1-Jan-2025",G14)))</formula>
    </cfRule>
  </conditionalFormatting>
  <conditionalFormatting sqref="G14:G17">
    <cfRule type="expression" dxfId="85" priority="5">
      <formula>#REF!</formula>
    </cfRule>
    <cfRule type="cellIs" dxfId="84" priority="6" operator="equal">
      <formula>#REF!</formula>
    </cfRule>
    <cfRule type="expression" dxfId="83" priority="8">
      <formula>#REF!</formula>
    </cfRule>
  </conditionalFormatting>
  <conditionalFormatting sqref="G15">
    <cfRule type="cellIs" dxfId="82" priority="17" operator="equal">
      <formula>#REF!</formula>
    </cfRule>
    <cfRule type="expression" dxfId="81" priority="15">
      <formula>#REF!</formula>
    </cfRule>
    <cfRule type="expression" dxfId="80" priority="16">
      <formula>#REF!</formula>
    </cfRule>
  </conditionalFormatting>
  <conditionalFormatting sqref="G16:G18">
    <cfRule type="cellIs" dxfId="79" priority="2" operator="equal">
      <formula>#REF!</formula>
    </cfRule>
    <cfRule type="expression" dxfId="78" priority="4">
      <formula>#REF!</formula>
    </cfRule>
  </conditionalFormatting>
  <conditionalFormatting sqref="G16:G36">
    <cfRule type="expression" dxfId="77" priority="1">
      <formula>#REF!</formula>
    </cfRule>
  </conditionalFormatting>
  <conditionalFormatting sqref="G17">
    <cfRule type="expression" dxfId="76" priority="18">
      <formula>#REF!</formula>
    </cfRule>
    <cfRule type="expression" dxfId="75" priority="19">
      <formula>#REF!</formula>
    </cfRule>
    <cfRule type="cellIs" dxfId="74" priority="20" operator="equal">
      <formula>#REF!</formula>
    </cfRule>
  </conditionalFormatting>
  <conditionalFormatting sqref="G18">
    <cfRule type="containsText" dxfId="73" priority="3" operator="containsText" text="1-Jan-2025">
      <formula>NOT(ISERROR(SEARCH("1-Jan-2025",G18)))</formula>
    </cfRule>
  </conditionalFormatting>
  <conditionalFormatting sqref="G19:G80">
    <cfRule type="expression" dxfId="72" priority="25">
      <formula>#REF!</formula>
    </cfRule>
    <cfRule type="cellIs" dxfId="71" priority="26" operator="equal">
      <formula>#REF!</formula>
    </cfRule>
  </conditionalFormatting>
  <conditionalFormatting sqref="G37:G80">
    <cfRule type="expression" dxfId="70" priority="27">
      <formula>#REF!</formula>
    </cfRule>
  </conditionalFormatting>
  <conditionalFormatting sqref="G62:G80">
    <cfRule type="expression" dxfId="69" priority="21">
      <formula>#REF!</formula>
    </cfRule>
  </conditionalFormatting>
  <conditionalFormatting sqref="G63:G80">
    <cfRule type="expression" dxfId="68" priority="22">
      <formula>#REF!</formula>
    </cfRule>
    <cfRule type="cellIs" dxfId="67" priority="23" operator="equal">
      <formula>#REF!</formula>
    </cfRule>
    <cfRule type="expression" dxfId="66" priority="24">
      <formula>#REF!</formula>
    </cfRule>
  </conditionalFormatting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2FA4D-64C5-6146-94BC-E76C5C485E1B}">
  <sheetPr codeName="Sheet8"/>
  <dimension ref="A1:BF169"/>
  <sheetViews>
    <sheetView zoomScale="90" zoomScaleNormal="90" workbookViewId="0">
      <pane xSplit="6" ySplit="1" topLeftCell="G35" activePane="bottomRight" state="frozen"/>
      <selection activeCell="O27" sqref="O27"/>
      <selection pane="topRight" activeCell="O27" sqref="O27"/>
      <selection pane="bottomLeft" activeCell="O27" sqref="O27"/>
      <selection pane="bottomRight"/>
    </sheetView>
  </sheetViews>
  <sheetFormatPr baseColWidth="10" defaultRowHeight="13" outlineLevelRow="1" outlineLevelCol="1"/>
  <cols>
    <col min="1" max="2" width="10.83203125" style="4" customWidth="1" outlineLevel="1"/>
    <col min="3" max="3" width="25" style="4" customWidth="1" outlineLevel="1"/>
    <col min="4" max="4" width="15.83203125" style="4" customWidth="1" outlineLevel="1"/>
    <col min="5" max="5" width="22.5" style="4" customWidth="1" outlineLevel="1"/>
    <col min="6" max="6" width="12" style="4" customWidth="1" outlineLevel="1"/>
    <col min="7" max="7" width="10.5" style="22" bestFit="1" customWidth="1" outlineLevel="1"/>
    <col min="8" max="8" width="9.33203125" style="22" bestFit="1" customWidth="1" outlineLevel="1"/>
    <col min="9" max="9" width="9.33203125" style="22" customWidth="1" outlineLevel="1"/>
    <col min="10" max="19" width="10.83203125" style="4" customWidth="1" outlineLevel="1"/>
    <col min="20" max="20" width="12.1640625" style="4" bestFit="1" customWidth="1"/>
    <col min="21" max="21" width="13.1640625" style="4" customWidth="1"/>
    <col min="22" max="22" width="13.33203125" style="4" customWidth="1"/>
    <col min="23" max="23" width="12.5" style="4" customWidth="1"/>
    <col min="24" max="24" width="10.83203125" style="4" customWidth="1"/>
    <col min="25" max="25" width="8" style="4" customWidth="1"/>
    <col min="26" max="26" width="11.83203125" style="4" customWidth="1" outlineLevel="1"/>
    <col min="27" max="27" width="12.6640625" style="4" customWidth="1" outlineLevel="1"/>
    <col min="28" max="28" width="14" style="4" customWidth="1" outlineLevel="1"/>
    <col min="29" max="31" width="8" style="4" customWidth="1"/>
    <col min="32" max="32" width="10.83203125" style="4" hidden="1" customWidth="1" outlineLevel="1"/>
    <col min="33" max="33" width="15" style="4" hidden="1" customWidth="1" outlineLevel="1"/>
    <col min="34" max="34" width="24.83203125" style="4" hidden="1" customWidth="1" outlineLevel="1"/>
    <col min="35" max="37" width="10.83203125" style="4" hidden="1" customWidth="1" outlineLevel="1"/>
    <col min="38" max="38" width="12.5" style="4" hidden="1" customWidth="1" outlineLevel="1"/>
    <col min="39" max="39" width="3" style="4" customWidth="1" collapsed="1"/>
    <col min="40" max="40" width="10.83203125" style="4" customWidth="1"/>
    <col min="41" max="41" width="15" style="4" customWidth="1"/>
    <col min="42" max="43" width="10.83203125" style="4" customWidth="1"/>
    <col min="44" max="46" width="10.83203125" style="4"/>
    <col min="47" max="47" width="15.5" style="4" bestFit="1" customWidth="1"/>
    <col min="48" max="16384" width="10.83203125" style="4"/>
  </cols>
  <sheetData>
    <row r="1" spans="1:58" ht="43" outlineLevel="1" thickBot="1">
      <c r="A1" s="280" t="s">
        <v>163</v>
      </c>
      <c r="B1" s="281" t="s">
        <v>8</v>
      </c>
      <c r="C1" s="281" t="s">
        <v>241</v>
      </c>
      <c r="D1" s="281" t="s">
        <v>0</v>
      </c>
      <c r="E1" s="281" t="s">
        <v>1</v>
      </c>
      <c r="F1" s="281" t="s">
        <v>23</v>
      </c>
      <c r="G1" s="282" t="s">
        <v>280</v>
      </c>
      <c r="H1" s="282" t="s">
        <v>10</v>
      </c>
      <c r="I1" s="282" t="s">
        <v>378</v>
      </c>
      <c r="J1" s="281" t="s">
        <v>226</v>
      </c>
      <c r="K1" s="281" t="s">
        <v>164</v>
      </c>
      <c r="L1" s="281" t="s">
        <v>165</v>
      </c>
      <c r="M1" s="281" t="s">
        <v>166</v>
      </c>
      <c r="N1" s="282" t="s">
        <v>379</v>
      </c>
      <c r="O1" s="281" t="s">
        <v>9</v>
      </c>
      <c r="P1" s="282" t="s">
        <v>10</v>
      </c>
      <c r="Q1" s="282" t="s">
        <v>378</v>
      </c>
      <c r="R1" s="283"/>
      <c r="T1" s="28" t="s">
        <v>200</v>
      </c>
      <c r="U1" s="28" t="s">
        <v>282</v>
      </c>
      <c r="V1" s="29" t="s">
        <v>201</v>
      </c>
      <c r="W1" s="29" t="s">
        <v>226</v>
      </c>
      <c r="X1" s="29" t="s">
        <v>378</v>
      </c>
      <c r="Y1" s="24"/>
      <c r="Z1" s="24"/>
      <c r="AA1" s="24"/>
      <c r="AB1" s="24"/>
      <c r="AC1" s="24"/>
      <c r="AD1" s="24"/>
      <c r="AE1" s="24"/>
      <c r="AF1" s="5" t="s">
        <v>163</v>
      </c>
      <c r="AG1" s="5" t="s">
        <v>0</v>
      </c>
      <c r="AH1" s="5" t="s">
        <v>1</v>
      </c>
      <c r="AI1" s="5" t="s">
        <v>264</v>
      </c>
      <c r="AJ1" s="5" t="s">
        <v>265</v>
      </c>
      <c r="AK1" s="5" t="s">
        <v>264</v>
      </c>
      <c r="AL1" s="5" t="s">
        <v>268</v>
      </c>
      <c r="AQ1" s="91" t="s">
        <v>297</v>
      </c>
      <c r="BF1" s="163"/>
    </row>
    <row r="2" spans="1:58" ht="16" outlineLevel="1">
      <c r="A2" s="273" t="s">
        <v>199</v>
      </c>
      <c r="B2" s="123" t="s">
        <v>194</v>
      </c>
      <c r="C2" s="123" t="str">
        <f t="shared" ref="C2:C27" si="0">A2&amp;D2</f>
        <v>Brazil_P2kh.br.sa.bra.08_A</v>
      </c>
      <c r="D2" s="274" t="s">
        <v>38</v>
      </c>
      <c r="E2" s="274" t="s">
        <v>195</v>
      </c>
      <c r="F2" s="275">
        <v>34714</v>
      </c>
      <c r="G2" s="20">
        <v>46022</v>
      </c>
      <c r="H2" s="20">
        <v>46193</v>
      </c>
      <c r="I2" s="269"/>
      <c r="J2" s="270">
        <f>VLOOKUP(C2,'Wave wise Effort'!$C$10:$N$80,9,0)</f>
        <v>0</v>
      </c>
      <c r="K2" s="270">
        <f>VLOOKUP(C2,'Wave wise Effort'!$C$10:$N$80,10,0)</f>
        <v>0</v>
      </c>
      <c r="L2" s="270">
        <f>VLOOKUP(C2,'Wave wise Effort'!$C$10:$N$80,11,0)</f>
        <v>0</v>
      </c>
      <c r="M2" s="270">
        <f>VLOOKUP(C2,'Wave wise Effort'!$C$10:$N$80,12,0)</f>
        <v>10</v>
      </c>
      <c r="N2" s="270"/>
      <c r="O2" s="269" t="str">
        <f>TEXT(G2,"mmm'yy")</f>
        <v>Dec'25</v>
      </c>
      <c r="P2" s="19" t="str">
        <f>TEXT(H2,"mmm'yy")</f>
        <v>Jun'26</v>
      </c>
      <c r="Q2" s="269"/>
      <c r="R2" s="247"/>
      <c r="T2" s="1" t="s">
        <v>202</v>
      </c>
      <c r="U2" s="18">
        <f t="shared" ref="U2:U42" si="1">SUMIF(O:O,T2,K:K)+SUMIF(O:O,T2,L:L)</f>
        <v>0</v>
      </c>
      <c r="V2" s="18">
        <f t="shared" ref="V2:V42" si="2">SUMIF(P:P,T2,M:M)</f>
        <v>0</v>
      </c>
      <c r="W2" s="18">
        <f t="shared" ref="W2:W42" si="3">SUMIF(O:O,T2,J:J)</f>
        <v>0</v>
      </c>
      <c r="X2" s="18">
        <f t="shared" ref="X2:X42" si="4">SUMIF(Q:Q,T2,N:N)</f>
        <v>0</v>
      </c>
      <c r="Y2" s="24"/>
      <c r="Z2" s="24"/>
      <c r="AA2" s="24"/>
      <c r="AB2" s="24"/>
      <c r="AC2" s="24"/>
      <c r="AD2" s="24"/>
      <c r="AE2" s="24"/>
      <c r="AF2" s="30" t="s">
        <v>218</v>
      </c>
      <c r="AG2" s="31" t="s">
        <v>63</v>
      </c>
      <c r="AH2" s="31" t="s">
        <v>64</v>
      </c>
      <c r="AI2" s="66">
        <v>45465</v>
      </c>
      <c r="AJ2" s="67" t="s">
        <v>255</v>
      </c>
      <c r="AK2" s="66" t="str">
        <f t="shared" ref="AK2:AK51" si="5">TEXT(AI2,"mmm'yy")</f>
        <v>Jun'24</v>
      </c>
      <c r="AL2" s="25" t="e">
        <f t="shared" ref="AL2:AL33" si="6">VLOOKUP(AG2,$D$2:$J$27,7,0)</f>
        <v>#N/A</v>
      </c>
      <c r="AQ2" s="90">
        <v>45658</v>
      </c>
      <c r="BF2" s="8"/>
    </row>
    <row r="3" spans="1:58" ht="16" outlineLevel="1">
      <c r="A3" s="276" t="s">
        <v>199</v>
      </c>
      <c r="B3" s="8" t="s">
        <v>194</v>
      </c>
      <c r="C3" s="8" t="str">
        <f t="shared" si="0"/>
        <v>Brazil_P2kh.br.sa.bra.08_C</v>
      </c>
      <c r="D3" s="35" t="s">
        <v>40</v>
      </c>
      <c r="E3" s="35" t="s">
        <v>196</v>
      </c>
      <c r="F3" s="153">
        <v>23453</v>
      </c>
      <c r="G3" s="20">
        <v>46029</v>
      </c>
      <c r="H3" s="20">
        <v>46243</v>
      </c>
      <c r="I3" s="19"/>
      <c r="J3" s="88">
        <f>VLOOKUP(C3,'Wave wise Effort'!$C$10:$N$80,9,0)</f>
        <v>0</v>
      </c>
      <c r="K3" s="88">
        <f>VLOOKUP(C3,'Wave wise Effort'!$C$10:$N$80,10,0)</f>
        <v>0</v>
      </c>
      <c r="L3" s="88">
        <f>VLOOKUP(C3,'Wave wise Effort'!$C$10:$N$80,11,0)</f>
        <v>0</v>
      </c>
      <c r="M3" s="88">
        <f>VLOOKUP(C3,'Wave wise Effort'!$C$10:$N$80,12,0)</f>
        <v>1181.8666666666666</v>
      </c>
      <c r="N3" s="88"/>
      <c r="O3" s="19" t="str">
        <f t="shared" ref="O3:O66" si="7">TEXT(G3,"mmm'yy")</f>
        <v>Jan'26</v>
      </c>
      <c r="P3" s="19" t="str">
        <f t="shared" ref="P3:P66" si="8">TEXT(H3,"mmm'yy")</f>
        <v>Aug'26</v>
      </c>
      <c r="Q3" s="19"/>
      <c r="R3" s="248"/>
      <c r="T3" s="1" t="s">
        <v>203</v>
      </c>
      <c r="U3" s="18">
        <f t="shared" si="1"/>
        <v>0</v>
      </c>
      <c r="V3" s="18">
        <f t="shared" si="2"/>
        <v>0</v>
      </c>
      <c r="W3" s="18">
        <f t="shared" si="3"/>
        <v>0</v>
      </c>
      <c r="X3" s="18">
        <f t="shared" si="4"/>
        <v>0</v>
      </c>
      <c r="Y3" s="24"/>
      <c r="Z3" s="24"/>
      <c r="AA3" s="24"/>
      <c r="AB3" s="24"/>
      <c r="AC3" s="24"/>
      <c r="AD3" s="24"/>
      <c r="AE3" s="24"/>
      <c r="AF3" s="30" t="s">
        <v>218</v>
      </c>
      <c r="AG3" s="31" t="s">
        <v>65</v>
      </c>
      <c r="AH3" s="31" t="s">
        <v>66</v>
      </c>
      <c r="AI3" s="66">
        <v>45485</v>
      </c>
      <c r="AJ3" s="67" t="s">
        <v>255</v>
      </c>
      <c r="AK3" s="66" t="str">
        <f t="shared" si="5"/>
        <v>Jul'24</v>
      </c>
      <c r="AL3" s="25" t="e">
        <f t="shared" si="6"/>
        <v>#N/A</v>
      </c>
      <c r="AQ3" s="90">
        <v>45671</v>
      </c>
      <c r="BF3" s="8"/>
    </row>
    <row r="4" spans="1:58" ht="16" outlineLevel="1">
      <c r="A4" s="276" t="s">
        <v>199</v>
      </c>
      <c r="B4" s="8" t="s">
        <v>194</v>
      </c>
      <c r="C4" s="8" t="str">
        <f t="shared" si="0"/>
        <v>Brazil_P2kh.br.sa.bra.08_D</v>
      </c>
      <c r="D4" s="35" t="s">
        <v>41</v>
      </c>
      <c r="E4" s="35" t="s">
        <v>198</v>
      </c>
      <c r="F4" s="153">
        <v>23151</v>
      </c>
      <c r="G4" s="20">
        <v>46041</v>
      </c>
      <c r="H4" s="20">
        <v>46271</v>
      </c>
      <c r="I4" s="19"/>
      <c r="J4" s="88">
        <f>VLOOKUP(C4,'Wave wise Effort'!$C$10:$N$80,9,0)</f>
        <v>0</v>
      </c>
      <c r="K4" s="88">
        <f>VLOOKUP(C4,'Wave wise Effort'!$C$10:$N$80,10,0)</f>
        <v>0</v>
      </c>
      <c r="L4" s="88">
        <f>VLOOKUP(C4,'Wave wise Effort'!$C$10:$N$80,11,0)</f>
        <v>0</v>
      </c>
      <c r="M4" s="88">
        <f>VLOOKUP(C4,'Wave wise Effort'!$C$10:$N$80,12,0)</f>
        <v>1890.8</v>
      </c>
      <c r="N4" s="88"/>
      <c r="O4" s="19" t="str">
        <f t="shared" si="7"/>
        <v>Jan'26</v>
      </c>
      <c r="P4" s="19" t="str">
        <f t="shared" si="8"/>
        <v>Sep'26</v>
      </c>
      <c r="Q4" s="19"/>
      <c r="R4" s="248"/>
      <c r="T4" s="1" t="s">
        <v>204</v>
      </c>
      <c r="U4" s="18">
        <f t="shared" si="1"/>
        <v>0</v>
      </c>
      <c r="V4" s="18">
        <f t="shared" si="2"/>
        <v>0</v>
      </c>
      <c r="W4" s="18">
        <f t="shared" si="3"/>
        <v>0</v>
      </c>
      <c r="X4" s="18">
        <f t="shared" si="4"/>
        <v>0</v>
      </c>
      <c r="Y4" s="24"/>
      <c r="Z4" s="24"/>
      <c r="AA4" s="24"/>
      <c r="AB4" s="24"/>
      <c r="AC4" s="24"/>
      <c r="AD4" s="24"/>
      <c r="AE4" s="24"/>
      <c r="AF4" s="30" t="s">
        <v>218</v>
      </c>
      <c r="AG4" s="31" t="s">
        <v>71</v>
      </c>
      <c r="AH4" s="31" t="s">
        <v>72</v>
      </c>
      <c r="AI4" s="66">
        <v>45503</v>
      </c>
      <c r="AJ4" s="67" t="s">
        <v>255</v>
      </c>
      <c r="AK4" s="66" t="str">
        <f t="shared" si="5"/>
        <v>Jul'24</v>
      </c>
      <c r="AL4" s="25" t="e">
        <f t="shared" si="6"/>
        <v>#N/A</v>
      </c>
      <c r="AQ4" s="90">
        <v>45730</v>
      </c>
      <c r="BF4" s="8"/>
    </row>
    <row r="5" spans="1:58" ht="16" outlineLevel="1">
      <c r="A5" s="276" t="s">
        <v>199</v>
      </c>
      <c r="B5" s="8" t="s">
        <v>194</v>
      </c>
      <c r="C5" s="8" t="str">
        <f t="shared" si="0"/>
        <v>Brazil_P2kh.br.sa.bra.08_B</v>
      </c>
      <c r="D5" s="35" t="s">
        <v>39</v>
      </c>
      <c r="E5" s="35" t="s">
        <v>197</v>
      </c>
      <c r="F5" s="153">
        <v>26018</v>
      </c>
      <c r="G5" s="20">
        <v>46049</v>
      </c>
      <c r="H5" s="198">
        <v>46283</v>
      </c>
      <c r="I5" s="19"/>
      <c r="J5" s="88">
        <f>VLOOKUP(C5,'Wave wise Effort'!$C$10:$N$80,9,0)</f>
        <v>0</v>
      </c>
      <c r="K5" s="88">
        <f>VLOOKUP(C5,'Wave wise Effort'!$C$10:$N$80,10,0)</f>
        <v>0</v>
      </c>
      <c r="L5" s="88">
        <f>VLOOKUP(C5,'Wave wise Effort'!$C$10:$N$80,11,0)</f>
        <v>0</v>
      </c>
      <c r="M5" s="88">
        <f>VLOOKUP(C5,'Wave wise Effort'!$C$10:$N$80,12,0)</f>
        <v>1996.9333333333334</v>
      </c>
      <c r="N5" s="88"/>
      <c r="O5" s="19" t="str">
        <f t="shared" si="7"/>
        <v>Jan'26</v>
      </c>
      <c r="P5" s="19" t="str">
        <f t="shared" si="8"/>
        <v>Sep'26</v>
      </c>
      <c r="Q5" s="19"/>
      <c r="R5" s="248"/>
      <c r="T5" s="1" t="s">
        <v>205</v>
      </c>
      <c r="U5" s="18">
        <f t="shared" si="1"/>
        <v>0</v>
      </c>
      <c r="V5" s="18">
        <f t="shared" si="2"/>
        <v>0</v>
      </c>
      <c r="W5" s="18">
        <f t="shared" si="3"/>
        <v>0</v>
      </c>
      <c r="X5" s="18">
        <f t="shared" si="4"/>
        <v>0</v>
      </c>
      <c r="Y5" s="24"/>
      <c r="Z5" s="24"/>
      <c r="AA5" s="24"/>
      <c r="AB5" s="24"/>
      <c r="AC5" s="24"/>
      <c r="AD5" s="24"/>
      <c r="AE5" s="24"/>
      <c r="AF5" s="30" t="s">
        <v>218</v>
      </c>
      <c r="AG5" s="31" t="s">
        <v>67</v>
      </c>
      <c r="AH5" s="31" t="s">
        <v>68</v>
      </c>
      <c r="AI5" s="66">
        <v>45519</v>
      </c>
      <c r="AJ5" s="67" t="s">
        <v>255</v>
      </c>
      <c r="AK5" s="66" t="str">
        <f t="shared" si="5"/>
        <v>Aug'24</v>
      </c>
      <c r="AL5" s="25" t="e">
        <f t="shared" si="6"/>
        <v>#N/A</v>
      </c>
      <c r="AQ5" s="90">
        <v>45747</v>
      </c>
      <c r="BF5" s="8"/>
    </row>
    <row r="6" spans="1:58" ht="16" outlineLevel="1">
      <c r="A6" s="276" t="s">
        <v>199</v>
      </c>
      <c r="B6" s="8" t="s">
        <v>190</v>
      </c>
      <c r="C6" s="8" t="str">
        <f t="shared" si="0"/>
        <v>Brazil_P2kh.br.sa.bra.11_A</v>
      </c>
      <c r="D6" s="35" t="s">
        <v>46</v>
      </c>
      <c r="E6" s="35" t="s">
        <v>191</v>
      </c>
      <c r="F6" s="153">
        <v>14299</v>
      </c>
      <c r="G6" s="20">
        <v>46051</v>
      </c>
      <c r="H6" s="20">
        <v>46210</v>
      </c>
      <c r="I6" s="19"/>
      <c r="J6" s="88">
        <f>VLOOKUP(C6,'Wave wise Effort'!$C$10:$N$80,9,0)</f>
        <v>0</v>
      </c>
      <c r="K6" s="88">
        <f>VLOOKUP(C6,'Wave wise Effort'!$C$10:$N$80,10,0)</f>
        <v>0</v>
      </c>
      <c r="L6" s="88">
        <f>VLOOKUP(C6,'Wave wise Effort'!$C$10:$N$80,11,0)</f>
        <v>0</v>
      </c>
      <c r="M6" s="88">
        <f>VLOOKUP(C6,'Wave wise Effort'!$C$10:$N$80,12,0)</f>
        <v>479.06666666666666</v>
      </c>
      <c r="N6" s="88"/>
      <c r="O6" s="19" t="str">
        <f t="shared" si="7"/>
        <v>Jan'26</v>
      </c>
      <c r="P6" s="19" t="str">
        <f t="shared" si="8"/>
        <v>Jul'26</v>
      </c>
      <c r="Q6" s="19"/>
      <c r="R6" s="248"/>
      <c r="T6" s="1" t="s">
        <v>206</v>
      </c>
      <c r="U6" s="18">
        <f t="shared" si="1"/>
        <v>0</v>
      </c>
      <c r="V6" s="18">
        <f t="shared" si="2"/>
        <v>0</v>
      </c>
      <c r="W6" s="18">
        <f t="shared" si="3"/>
        <v>0</v>
      </c>
      <c r="X6" s="18">
        <f t="shared" si="4"/>
        <v>0</v>
      </c>
      <c r="Y6" s="24"/>
      <c r="Z6" s="24"/>
      <c r="AA6" s="24"/>
      <c r="AB6" s="24"/>
      <c r="AC6" s="24"/>
      <c r="AD6" s="24"/>
      <c r="AE6" s="24"/>
      <c r="AF6" s="30" t="s">
        <v>218</v>
      </c>
      <c r="AG6" s="31" t="s">
        <v>69</v>
      </c>
      <c r="AH6" s="31" t="s">
        <v>70</v>
      </c>
      <c r="AI6" s="66">
        <v>45532</v>
      </c>
      <c r="AJ6" s="67" t="s">
        <v>255</v>
      </c>
      <c r="AK6" s="66" t="str">
        <f t="shared" si="5"/>
        <v>Aug'24</v>
      </c>
      <c r="AL6" s="25" t="e">
        <f t="shared" si="6"/>
        <v>#N/A</v>
      </c>
      <c r="AQ6" s="90">
        <v>45765</v>
      </c>
      <c r="BF6" s="8"/>
    </row>
    <row r="7" spans="1:58" ht="16" outlineLevel="1">
      <c r="A7" s="276" t="s">
        <v>199</v>
      </c>
      <c r="B7" s="8" t="s">
        <v>190</v>
      </c>
      <c r="C7" s="8" t="str">
        <f t="shared" si="0"/>
        <v>Brazil_P2kh.br.sa.bra.11_B</v>
      </c>
      <c r="D7" s="35" t="s">
        <v>47</v>
      </c>
      <c r="E7" s="35" t="s">
        <v>192</v>
      </c>
      <c r="F7" s="153">
        <v>18163</v>
      </c>
      <c r="G7" s="20">
        <v>46053</v>
      </c>
      <c r="H7" s="20">
        <v>46215</v>
      </c>
      <c r="I7" s="19"/>
      <c r="J7" s="88">
        <f>VLOOKUP(C7,'Wave wise Effort'!$C$10:$N$80,9,0)</f>
        <v>0</v>
      </c>
      <c r="K7" s="88">
        <f>VLOOKUP(C7,'Wave wise Effort'!$C$10:$N$80,10,0)</f>
        <v>0</v>
      </c>
      <c r="L7" s="88">
        <f>VLOOKUP(C7,'Wave wise Effort'!$C$10:$N$80,11,0)</f>
        <v>0</v>
      </c>
      <c r="M7" s="88">
        <f>VLOOKUP(C7,'Wave wise Effort'!$C$10:$N$80,12,0)</f>
        <v>1110.5333333333333</v>
      </c>
      <c r="N7" s="88"/>
      <c r="O7" s="19" t="str">
        <f t="shared" si="7"/>
        <v>Jan'26</v>
      </c>
      <c r="P7" s="19" t="str">
        <f t="shared" si="8"/>
        <v>Jul'26</v>
      </c>
      <c r="Q7" s="19"/>
      <c r="R7" s="248"/>
      <c r="T7" s="1" t="s">
        <v>207</v>
      </c>
      <c r="U7" s="18">
        <f t="shared" si="1"/>
        <v>0</v>
      </c>
      <c r="V7" s="18">
        <f t="shared" si="2"/>
        <v>10</v>
      </c>
      <c r="W7" s="18">
        <f t="shared" si="3"/>
        <v>0</v>
      </c>
      <c r="X7" s="18">
        <f t="shared" si="4"/>
        <v>0</v>
      </c>
      <c r="Y7" s="24"/>
      <c r="Z7" s="24"/>
      <c r="AA7" s="24"/>
      <c r="AB7" s="24"/>
      <c r="AC7" s="24"/>
      <c r="AD7" s="24"/>
      <c r="AE7" s="24"/>
      <c r="AF7" s="30" t="s">
        <v>218</v>
      </c>
      <c r="AG7" s="31" t="s">
        <v>73</v>
      </c>
      <c r="AH7" s="31" t="s">
        <v>74</v>
      </c>
      <c r="AI7" s="66">
        <v>45518</v>
      </c>
      <c r="AJ7" s="67" t="s">
        <v>255</v>
      </c>
      <c r="AK7" s="66" t="str">
        <f t="shared" si="5"/>
        <v>Aug'24</v>
      </c>
      <c r="AL7" s="25" t="e">
        <f t="shared" si="6"/>
        <v>#N/A</v>
      </c>
      <c r="AQ7" s="90">
        <v>45778</v>
      </c>
      <c r="BF7" s="8"/>
    </row>
    <row r="8" spans="1:58" ht="16" outlineLevel="1">
      <c r="A8" s="276" t="s">
        <v>199</v>
      </c>
      <c r="B8" s="8" t="s">
        <v>190</v>
      </c>
      <c r="C8" s="8" t="str">
        <f t="shared" si="0"/>
        <v>Brazil_P2kh.br.sa.bra.11_C</v>
      </c>
      <c r="D8" s="35" t="s">
        <v>48</v>
      </c>
      <c r="E8" s="35" t="s">
        <v>193</v>
      </c>
      <c r="F8" s="153">
        <v>7469</v>
      </c>
      <c r="G8" s="20">
        <v>46059</v>
      </c>
      <c r="H8" s="20">
        <v>46224</v>
      </c>
      <c r="I8" s="19"/>
      <c r="J8" s="88">
        <f>VLOOKUP(C8,'Wave wise Effort'!$C$10:$N$80,9,0)</f>
        <v>0</v>
      </c>
      <c r="K8" s="88">
        <f>VLOOKUP(C8,'Wave wise Effort'!$C$10:$N$80,10,0)</f>
        <v>0</v>
      </c>
      <c r="L8" s="88">
        <f>VLOOKUP(C8,'Wave wise Effort'!$C$10:$N$80,11,0)</f>
        <v>0</v>
      </c>
      <c r="M8" s="88">
        <f>VLOOKUP(C8,'Wave wise Effort'!$C$10:$N$80,12,0)</f>
        <v>575.20000000000005</v>
      </c>
      <c r="N8" s="88"/>
      <c r="O8" s="19" t="str">
        <f t="shared" si="7"/>
        <v>Feb'26</v>
      </c>
      <c r="P8" s="19" t="str">
        <f t="shared" si="8"/>
        <v>Jul'26</v>
      </c>
      <c r="Q8" s="19"/>
      <c r="R8" s="248"/>
      <c r="T8" s="1" t="s">
        <v>208</v>
      </c>
      <c r="U8" s="18">
        <f t="shared" si="1"/>
        <v>1143.4666666666667</v>
      </c>
      <c r="V8" s="18">
        <f t="shared" si="2"/>
        <v>2164.8000000000002</v>
      </c>
      <c r="W8" s="18">
        <f t="shared" si="3"/>
        <v>0</v>
      </c>
      <c r="X8" s="18">
        <f t="shared" si="4"/>
        <v>0</v>
      </c>
      <c r="Y8" s="24"/>
      <c r="Z8" s="24"/>
      <c r="AA8" s="24"/>
      <c r="AB8" s="24"/>
      <c r="AC8" s="24"/>
      <c r="AD8" s="24"/>
      <c r="AE8" s="24"/>
      <c r="AF8" s="30" t="s">
        <v>218</v>
      </c>
      <c r="AG8" s="31" t="s">
        <v>83</v>
      </c>
      <c r="AH8" s="31" t="s">
        <v>84</v>
      </c>
      <c r="AI8" s="66">
        <v>45510</v>
      </c>
      <c r="AJ8" s="67" t="s">
        <v>255</v>
      </c>
      <c r="AK8" s="66" t="str">
        <f t="shared" si="5"/>
        <v>Aug'24</v>
      </c>
      <c r="AL8" s="25" t="e">
        <f t="shared" si="6"/>
        <v>#N/A</v>
      </c>
      <c r="AQ8" s="90">
        <v>45810</v>
      </c>
      <c r="BF8" s="8"/>
    </row>
    <row r="9" spans="1:58" ht="16" outlineLevel="1">
      <c r="A9" s="276" t="s">
        <v>199</v>
      </c>
      <c r="B9" s="8" t="s">
        <v>184</v>
      </c>
      <c r="C9" s="8" t="str">
        <f t="shared" si="0"/>
        <v>Brazil_P2kh.br.sa.bra.16</v>
      </c>
      <c r="D9" s="35" t="s">
        <v>57</v>
      </c>
      <c r="E9" s="35" t="s">
        <v>58</v>
      </c>
      <c r="F9" s="153">
        <v>23933</v>
      </c>
      <c r="G9" s="20">
        <v>46075</v>
      </c>
      <c r="H9" s="198">
        <v>46299</v>
      </c>
      <c r="I9" s="19"/>
      <c r="J9" s="88">
        <f>VLOOKUP(C9,'Wave wise Effort'!$C$10:$N$80,9,0)</f>
        <v>0</v>
      </c>
      <c r="K9" s="88">
        <f>VLOOKUP(C9,'Wave wise Effort'!$C$10:$N$80,10,0)</f>
        <v>0</v>
      </c>
      <c r="L9" s="88">
        <f>VLOOKUP(C9,'Wave wise Effort'!$C$10:$N$80,11,0)</f>
        <v>0</v>
      </c>
      <c r="M9" s="88">
        <f>VLOOKUP(C9,'Wave wise Effort'!$C$10:$N$80,12,0)</f>
        <v>1507.0666666666666</v>
      </c>
      <c r="N9" s="88"/>
      <c r="O9" s="19" t="str">
        <f t="shared" si="7"/>
        <v>Feb'26</v>
      </c>
      <c r="P9" s="19" t="str">
        <f t="shared" si="8"/>
        <v>Oct'26</v>
      </c>
      <c r="Q9" s="19"/>
      <c r="R9" s="248"/>
      <c r="T9" s="1" t="s">
        <v>219</v>
      </c>
      <c r="U9" s="18">
        <f t="shared" si="1"/>
        <v>316.53333333333336</v>
      </c>
      <c r="V9" s="18">
        <f t="shared" si="2"/>
        <v>1181.8666666666666</v>
      </c>
      <c r="W9" s="18">
        <f t="shared" si="3"/>
        <v>0</v>
      </c>
      <c r="X9" s="18">
        <f t="shared" si="4"/>
        <v>0</v>
      </c>
      <c r="Y9" s="24"/>
      <c r="Z9" s="24"/>
      <c r="AA9" s="24"/>
      <c r="AB9" s="24"/>
      <c r="AC9" s="24"/>
      <c r="AD9" s="24"/>
      <c r="AE9" s="24"/>
      <c r="AF9" s="30" t="s">
        <v>218</v>
      </c>
      <c r="AG9" s="31" t="s">
        <v>75</v>
      </c>
      <c r="AH9" s="31" t="s">
        <v>76</v>
      </c>
      <c r="AI9" s="66">
        <v>45539</v>
      </c>
      <c r="AJ9" s="67" t="s">
        <v>255</v>
      </c>
      <c r="AK9" s="66" t="str">
        <f t="shared" si="5"/>
        <v>Sep'24</v>
      </c>
      <c r="AL9" s="25" t="e">
        <f t="shared" si="6"/>
        <v>#N/A</v>
      </c>
      <c r="AQ9" s="90">
        <v>45884</v>
      </c>
      <c r="BF9" s="8"/>
    </row>
    <row r="10" spans="1:58" ht="16" outlineLevel="1">
      <c r="A10" s="276" t="s">
        <v>199</v>
      </c>
      <c r="B10" s="8" t="s">
        <v>184</v>
      </c>
      <c r="C10" s="8" t="str">
        <f t="shared" si="0"/>
        <v>Brazil_P2kh.br.sa.bra.17</v>
      </c>
      <c r="D10" s="35" t="s">
        <v>59</v>
      </c>
      <c r="E10" s="35" t="s">
        <v>60</v>
      </c>
      <c r="F10" s="153">
        <v>22668</v>
      </c>
      <c r="G10" s="20">
        <v>46091</v>
      </c>
      <c r="H10" s="19">
        <v>46307</v>
      </c>
      <c r="I10" s="19"/>
      <c r="J10" s="88">
        <f>VLOOKUP(C10,'Wave wise Effort'!$C$10:$N$80,9,0)</f>
        <v>0</v>
      </c>
      <c r="K10" s="88">
        <f>VLOOKUP(C10,'Wave wise Effort'!$C$10:$N$80,10,0)</f>
        <v>0</v>
      </c>
      <c r="L10" s="88">
        <f>VLOOKUP(C10,'Wave wise Effort'!$C$10:$N$80,11,0)</f>
        <v>0</v>
      </c>
      <c r="M10" s="88">
        <f>VLOOKUP(C10,'Wave wise Effort'!$C$10:$N$80,12,0)</f>
        <v>1014.4</v>
      </c>
      <c r="N10" s="88"/>
      <c r="O10" s="19" t="str">
        <f t="shared" si="7"/>
        <v>Mar'26</v>
      </c>
      <c r="P10" s="19" t="str">
        <f t="shared" si="8"/>
        <v>Oct'26</v>
      </c>
      <c r="Q10" s="19"/>
      <c r="R10" s="248"/>
      <c r="T10" s="1" t="s">
        <v>286</v>
      </c>
      <c r="U10" s="18">
        <f t="shared" si="1"/>
        <v>342.66666666666669</v>
      </c>
      <c r="V10" s="18">
        <f t="shared" si="2"/>
        <v>3887.7333333333336</v>
      </c>
      <c r="W10" s="18">
        <f t="shared" si="3"/>
        <v>0</v>
      </c>
      <c r="X10" s="18">
        <f t="shared" si="4"/>
        <v>0</v>
      </c>
      <c r="Y10" s="24"/>
      <c r="Z10" s="24"/>
      <c r="AA10" s="24"/>
      <c r="AB10" s="24"/>
      <c r="AC10" s="24"/>
      <c r="AD10" s="24"/>
      <c r="AE10" s="24"/>
      <c r="AF10" s="30" t="s">
        <v>218</v>
      </c>
      <c r="AG10" s="31" t="s">
        <v>77</v>
      </c>
      <c r="AH10" s="31" t="s">
        <v>78</v>
      </c>
      <c r="AI10" s="66">
        <v>45514</v>
      </c>
      <c r="AJ10" s="67" t="s">
        <v>255</v>
      </c>
      <c r="AK10" s="66" t="str">
        <f t="shared" si="5"/>
        <v>Aug'24</v>
      </c>
      <c r="AL10" s="25" t="e">
        <f t="shared" si="6"/>
        <v>#N/A</v>
      </c>
      <c r="AQ10" s="90">
        <v>45896</v>
      </c>
      <c r="BF10" s="8"/>
    </row>
    <row r="11" spans="1:58" ht="16" outlineLevel="1">
      <c r="A11" s="276" t="s">
        <v>199</v>
      </c>
      <c r="B11" s="8" t="s">
        <v>184</v>
      </c>
      <c r="C11" s="8" t="str">
        <f t="shared" si="0"/>
        <v>Brazil_P2kh.br.sa.bra.18</v>
      </c>
      <c r="D11" s="35" t="s">
        <v>61</v>
      </c>
      <c r="E11" s="35" t="s">
        <v>62</v>
      </c>
      <c r="F11" s="153">
        <v>14335</v>
      </c>
      <c r="G11" s="20">
        <v>46114</v>
      </c>
      <c r="H11" s="19">
        <v>46316</v>
      </c>
      <c r="I11" s="19"/>
      <c r="J11" s="88">
        <f>VLOOKUP(C11,'Wave wise Effort'!$C$10:$N$80,9,0)</f>
        <v>0</v>
      </c>
      <c r="K11" s="88">
        <f>VLOOKUP(C11,'Wave wise Effort'!$C$10:$N$80,10,0)</f>
        <v>0</v>
      </c>
      <c r="L11" s="88">
        <f>VLOOKUP(C11,'Wave wise Effort'!$C$10:$N$80,11,0)</f>
        <v>0</v>
      </c>
      <c r="M11" s="88">
        <f>VLOOKUP(C11,'Wave wise Effort'!$C$10:$N$80,12,0)</f>
        <v>568.4</v>
      </c>
      <c r="N11" s="88"/>
      <c r="O11" s="19" t="str">
        <f t="shared" si="7"/>
        <v>Apr'26</v>
      </c>
      <c r="P11" s="19" t="str">
        <f t="shared" si="8"/>
        <v>Oct'26</v>
      </c>
      <c r="Q11" s="19"/>
      <c r="R11" s="248"/>
      <c r="T11" s="1" t="s">
        <v>287</v>
      </c>
      <c r="U11" s="18">
        <f t="shared" si="1"/>
        <v>1271.0666666666666</v>
      </c>
      <c r="V11" s="18">
        <f t="shared" si="2"/>
        <v>3627.7333333333336</v>
      </c>
      <c r="W11" s="18">
        <f t="shared" si="3"/>
        <v>0</v>
      </c>
      <c r="X11" s="18">
        <f t="shared" si="4"/>
        <v>0</v>
      </c>
      <c r="Y11" s="24"/>
      <c r="Z11" s="24"/>
      <c r="AA11" s="24"/>
      <c r="AB11" s="24"/>
      <c r="AC11" s="24"/>
      <c r="AD11" s="24"/>
      <c r="AE11" s="24"/>
      <c r="AF11" s="30" t="s">
        <v>218</v>
      </c>
      <c r="AG11" s="31" t="s">
        <v>79</v>
      </c>
      <c r="AH11" s="31" t="s">
        <v>80</v>
      </c>
      <c r="AI11" s="66">
        <v>45539</v>
      </c>
      <c r="AJ11" s="67" t="s">
        <v>255</v>
      </c>
      <c r="AK11" s="66" t="str">
        <f t="shared" si="5"/>
        <v>Sep'24</v>
      </c>
      <c r="AL11" s="25" t="e">
        <f t="shared" si="6"/>
        <v>#N/A</v>
      </c>
      <c r="AQ11" s="90">
        <v>46016</v>
      </c>
      <c r="BF11" s="8"/>
    </row>
    <row r="12" spans="1:58" ht="16" outlineLevel="1">
      <c r="A12" s="276" t="s">
        <v>199</v>
      </c>
      <c r="B12" s="8" t="s">
        <v>183</v>
      </c>
      <c r="C12" s="8" t="str">
        <f t="shared" si="0"/>
        <v>Brazil_P2kh.br.sa.bra.13</v>
      </c>
      <c r="D12" s="35" t="s">
        <v>51</v>
      </c>
      <c r="E12" s="35" t="s">
        <v>52</v>
      </c>
      <c r="F12" s="153">
        <v>11777</v>
      </c>
      <c r="G12" s="20">
        <v>46104</v>
      </c>
      <c r="H12" s="19">
        <v>46320</v>
      </c>
      <c r="I12" s="19"/>
      <c r="J12" s="88">
        <f>VLOOKUP(C12,'Wave wise Effort'!$C$10:$N$80,9,0)</f>
        <v>0</v>
      </c>
      <c r="K12" s="88">
        <f>VLOOKUP(C12,'Wave wise Effort'!$C$10:$N$80,10,0)</f>
        <v>0</v>
      </c>
      <c r="L12" s="88">
        <f>VLOOKUP(C12,'Wave wise Effort'!$C$10:$N$80,11,0)</f>
        <v>0</v>
      </c>
      <c r="M12" s="88">
        <f>VLOOKUP(C12,'Wave wise Effort'!$C$10:$N$80,12,0)</f>
        <v>304.8</v>
      </c>
      <c r="N12" s="88"/>
      <c r="O12" s="19" t="str">
        <f t="shared" si="7"/>
        <v>Mar'26</v>
      </c>
      <c r="P12" s="19" t="str">
        <f t="shared" si="8"/>
        <v>Oct'26</v>
      </c>
      <c r="Q12" s="19"/>
      <c r="R12" s="248"/>
      <c r="T12" s="1" t="s">
        <v>288</v>
      </c>
      <c r="U12" s="18">
        <f t="shared" si="1"/>
        <v>978</v>
      </c>
      <c r="V12" s="18">
        <f t="shared" si="2"/>
        <v>3444.6666666666665</v>
      </c>
      <c r="W12" s="18">
        <f t="shared" si="3"/>
        <v>0</v>
      </c>
      <c r="X12" s="18">
        <f t="shared" si="4"/>
        <v>0</v>
      </c>
      <c r="Y12" s="24"/>
      <c r="Z12" s="24"/>
      <c r="AA12" s="24"/>
      <c r="AB12" s="24"/>
      <c r="AC12" s="24"/>
      <c r="AD12" s="24"/>
      <c r="AE12" s="24"/>
      <c r="AF12" s="30" t="s">
        <v>218</v>
      </c>
      <c r="AG12" s="31" t="s">
        <v>81</v>
      </c>
      <c r="AH12" s="31" t="s">
        <v>82</v>
      </c>
      <c r="AI12" s="66">
        <v>45562</v>
      </c>
      <c r="AJ12" s="67" t="s">
        <v>255</v>
      </c>
      <c r="AK12" s="66" t="str">
        <f t="shared" si="5"/>
        <v>Sep'24</v>
      </c>
      <c r="AL12" s="25" t="e">
        <f t="shared" si="6"/>
        <v>#N/A</v>
      </c>
      <c r="AQ12" s="90">
        <v>45932</v>
      </c>
      <c r="BF12" s="8"/>
    </row>
    <row r="13" spans="1:58" ht="16" outlineLevel="1">
      <c r="A13" s="276" t="s">
        <v>199</v>
      </c>
      <c r="B13" s="8" t="s">
        <v>183</v>
      </c>
      <c r="C13" s="8" t="str">
        <f t="shared" si="0"/>
        <v>Brazil_P2kh.br.sa.bra.14</v>
      </c>
      <c r="D13" s="35" t="s">
        <v>53</v>
      </c>
      <c r="E13" s="35" t="s">
        <v>54</v>
      </c>
      <c r="F13" s="153">
        <v>8173</v>
      </c>
      <c r="G13" s="20">
        <v>46105</v>
      </c>
      <c r="H13" s="19">
        <v>46323</v>
      </c>
      <c r="I13" s="19"/>
      <c r="J13" s="88">
        <f>VLOOKUP(C13,'Wave wise Effort'!$C$10:$N$80,9,0)</f>
        <v>0</v>
      </c>
      <c r="K13" s="88">
        <f>VLOOKUP(C13,'Wave wise Effort'!$C$10:$N$80,10,0)</f>
        <v>0</v>
      </c>
      <c r="L13" s="88">
        <f>VLOOKUP(C13,'Wave wise Effort'!$C$10:$N$80,11,0)</f>
        <v>0</v>
      </c>
      <c r="M13" s="88">
        <f>VLOOKUP(C13,'Wave wise Effort'!$C$10:$N$80,12,0)</f>
        <v>233.06666666666666</v>
      </c>
      <c r="N13" s="88"/>
      <c r="O13" s="19" t="str">
        <f t="shared" si="7"/>
        <v>Mar'26</v>
      </c>
      <c r="P13" s="19" t="str">
        <f t="shared" si="8"/>
        <v>Oct'26</v>
      </c>
      <c r="Q13" s="19"/>
      <c r="R13" s="248"/>
      <c r="T13" s="1" t="s">
        <v>289</v>
      </c>
      <c r="U13" s="18">
        <f t="shared" si="1"/>
        <v>0</v>
      </c>
      <c r="V13" s="18">
        <f t="shared" si="2"/>
        <v>2709.2</v>
      </c>
      <c r="W13" s="18">
        <f t="shared" si="3"/>
        <v>0</v>
      </c>
      <c r="X13" s="18">
        <f t="shared" si="4"/>
        <v>0</v>
      </c>
      <c r="Y13" s="24"/>
      <c r="Z13" s="24"/>
      <c r="AA13" s="24"/>
      <c r="AB13" s="24"/>
      <c r="AC13" s="24"/>
      <c r="AD13" s="24"/>
      <c r="AE13" s="24"/>
      <c r="AF13" s="30" t="s">
        <v>218</v>
      </c>
      <c r="AG13" s="31" t="s">
        <v>85</v>
      </c>
      <c r="AH13" s="31" t="s">
        <v>86</v>
      </c>
      <c r="AI13" s="66">
        <v>45630</v>
      </c>
      <c r="AJ13" s="67" t="s">
        <v>255</v>
      </c>
      <c r="AK13" s="66" t="str">
        <f t="shared" si="5"/>
        <v>Dec'24</v>
      </c>
      <c r="AL13" s="25" t="e">
        <f t="shared" si="6"/>
        <v>#N/A</v>
      </c>
      <c r="AQ13" s="90">
        <v>46036</v>
      </c>
      <c r="BF13" s="8"/>
    </row>
    <row r="14" spans="1:58" ht="16" outlineLevel="1">
      <c r="A14" s="276" t="s">
        <v>199</v>
      </c>
      <c r="B14" s="8" t="s">
        <v>183</v>
      </c>
      <c r="C14" s="8" t="str">
        <f t="shared" si="0"/>
        <v>Brazil_P2kh.br.sa.bra.15</v>
      </c>
      <c r="D14" s="35" t="s">
        <v>55</v>
      </c>
      <c r="E14" s="35" t="s">
        <v>56</v>
      </c>
      <c r="F14" s="153">
        <v>15472</v>
      </c>
      <c r="G14" s="20">
        <v>46135</v>
      </c>
      <c r="H14" s="19">
        <v>46333</v>
      </c>
      <c r="I14" s="19"/>
      <c r="J14" s="88">
        <f>VLOOKUP(C14,'Wave wise Effort'!$C$10:$N$80,9,0)</f>
        <v>0</v>
      </c>
      <c r="K14" s="88">
        <f>VLOOKUP(C14,'Wave wise Effort'!$C$10:$N$80,10,0)</f>
        <v>0</v>
      </c>
      <c r="L14" s="88">
        <f>VLOOKUP(C14,'Wave wise Effort'!$C$10:$N$80,11,0)</f>
        <v>0</v>
      </c>
      <c r="M14" s="88">
        <f>VLOOKUP(C14,'Wave wise Effort'!$C$10:$N$80,12,0)</f>
        <v>582.66666666666663</v>
      </c>
      <c r="N14" s="88"/>
      <c r="O14" s="19" t="str">
        <f t="shared" si="7"/>
        <v>Apr'26</v>
      </c>
      <c r="P14" s="19" t="str">
        <f t="shared" si="8"/>
        <v>Nov'26</v>
      </c>
      <c r="Q14" s="19"/>
      <c r="R14" s="248"/>
      <c r="T14" s="1" t="s">
        <v>295</v>
      </c>
      <c r="U14" s="18">
        <f t="shared" si="1"/>
        <v>0</v>
      </c>
      <c r="V14" s="18">
        <f t="shared" si="2"/>
        <v>4431.8666666666668</v>
      </c>
      <c r="W14" s="18">
        <f t="shared" si="3"/>
        <v>0</v>
      </c>
      <c r="X14" s="18">
        <f t="shared" si="4"/>
        <v>0</v>
      </c>
      <c r="Y14" s="24"/>
      <c r="Z14" s="24"/>
      <c r="AA14" s="24"/>
      <c r="AB14" s="24"/>
      <c r="AC14" s="24"/>
      <c r="AD14" s="24"/>
      <c r="AE14" s="24"/>
      <c r="AF14" s="30" t="s">
        <v>218</v>
      </c>
      <c r="AG14" s="31" t="s">
        <v>87</v>
      </c>
      <c r="AH14" s="31" t="s">
        <v>88</v>
      </c>
      <c r="AI14" s="66">
        <v>45601</v>
      </c>
      <c r="AJ14" s="67" t="s">
        <v>255</v>
      </c>
      <c r="AK14" s="66" t="str">
        <f t="shared" si="5"/>
        <v>Nov'24</v>
      </c>
      <c r="AL14" s="25" t="e">
        <f t="shared" si="6"/>
        <v>#N/A</v>
      </c>
      <c r="AQ14" s="90">
        <v>45950</v>
      </c>
      <c r="BF14" s="8"/>
    </row>
    <row r="15" spans="1:58" ht="16" outlineLevel="1">
      <c r="A15" s="276" t="s">
        <v>199</v>
      </c>
      <c r="B15" s="8" t="s">
        <v>183</v>
      </c>
      <c r="C15" s="8" t="str">
        <f t="shared" si="0"/>
        <v>Brazil_P2kh.br.sa.bra.12</v>
      </c>
      <c r="D15" s="35" t="s">
        <v>49</v>
      </c>
      <c r="E15" s="9" t="s">
        <v>50</v>
      </c>
      <c r="F15" s="2">
        <v>6544</v>
      </c>
      <c r="G15" s="20">
        <v>46148</v>
      </c>
      <c r="H15" s="19">
        <v>46338</v>
      </c>
      <c r="I15" s="19"/>
      <c r="J15" s="88">
        <f>VLOOKUP(C15,'Wave wise Effort'!$C$10:$N$80,9,0)</f>
        <v>0</v>
      </c>
      <c r="K15" s="88">
        <f>VLOOKUP(C15,'Wave wise Effort'!$C$10:$N$80,10,0)</f>
        <v>0</v>
      </c>
      <c r="L15" s="88">
        <f>VLOOKUP(C15,'Wave wise Effort'!$C$10:$N$80,11,0)</f>
        <v>0</v>
      </c>
      <c r="M15" s="88">
        <f>VLOOKUP(C15,'Wave wise Effort'!$C$10:$N$80,12,0)</f>
        <v>115.86666666666666</v>
      </c>
      <c r="N15" s="88"/>
      <c r="O15" s="19" t="str">
        <f t="shared" si="7"/>
        <v>May'26</v>
      </c>
      <c r="P15" s="19" t="str">
        <f t="shared" si="8"/>
        <v>Nov'26</v>
      </c>
      <c r="Q15" s="19"/>
      <c r="R15" s="248"/>
      <c r="T15" s="8" t="s">
        <v>296</v>
      </c>
      <c r="U15" s="18">
        <f t="shared" si="1"/>
        <v>0</v>
      </c>
      <c r="V15" s="18">
        <f t="shared" si="2"/>
        <v>4189.2</v>
      </c>
      <c r="W15" s="18">
        <f t="shared" si="3"/>
        <v>0</v>
      </c>
      <c r="X15" s="18">
        <f t="shared" si="4"/>
        <v>0</v>
      </c>
      <c r="Y15" s="24"/>
      <c r="Z15" s="24"/>
      <c r="AA15" s="24"/>
      <c r="AB15" s="24"/>
      <c r="AC15" s="24"/>
      <c r="AD15" s="24"/>
      <c r="AE15" s="24"/>
      <c r="AF15" s="30" t="s">
        <v>218</v>
      </c>
      <c r="AG15" s="31" t="s">
        <v>101</v>
      </c>
      <c r="AH15" s="31" t="s">
        <v>102</v>
      </c>
      <c r="AI15" s="66">
        <v>45602</v>
      </c>
      <c r="AJ15" s="67" t="s">
        <v>255</v>
      </c>
      <c r="AK15" s="66" t="str">
        <f t="shared" si="5"/>
        <v>Nov'24</v>
      </c>
      <c r="AL15" s="25" t="e">
        <f t="shared" si="6"/>
        <v>#N/A</v>
      </c>
      <c r="AQ15" s="90">
        <v>46023</v>
      </c>
      <c r="BF15" s="8"/>
    </row>
    <row r="16" spans="1:58" ht="16" outlineLevel="1">
      <c r="A16" s="276" t="s">
        <v>199</v>
      </c>
      <c r="B16" s="8" t="s">
        <v>185</v>
      </c>
      <c r="C16" s="8" t="str">
        <f t="shared" si="0"/>
        <v>Brazil_P2kh.br.sa.bra.10_B</v>
      </c>
      <c r="D16" s="35" t="s">
        <v>45</v>
      </c>
      <c r="E16" s="35" t="s">
        <v>189</v>
      </c>
      <c r="F16" s="153">
        <v>24034</v>
      </c>
      <c r="G16" s="20">
        <v>46098</v>
      </c>
      <c r="H16" s="19">
        <v>46354</v>
      </c>
      <c r="I16" s="19"/>
      <c r="J16" s="88">
        <f>VLOOKUP(C16,'Wave wise Effort'!$C$10:$N$80,9,0)</f>
        <v>0</v>
      </c>
      <c r="K16" s="88">
        <f>VLOOKUP(C16,'Wave wise Effort'!$C$10:$N$80,10,0)</f>
        <v>0</v>
      </c>
      <c r="L16" s="88">
        <f>VLOOKUP(C16,'Wave wise Effort'!$C$10:$N$80,11,0)</f>
        <v>0</v>
      </c>
      <c r="M16" s="88">
        <f>VLOOKUP(C16,'Wave wise Effort'!$C$10:$N$80,12,0)</f>
        <v>2746.1333333333332</v>
      </c>
      <c r="N16" s="88"/>
      <c r="O16" s="19" t="str">
        <f t="shared" si="7"/>
        <v>Mar'26</v>
      </c>
      <c r="P16" s="19" t="str">
        <f t="shared" si="8"/>
        <v>Nov'26</v>
      </c>
      <c r="Q16" s="19"/>
      <c r="R16" s="248"/>
      <c r="T16" s="8" t="s">
        <v>364</v>
      </c>
      <c r="U16" s="18">
        <f t="shared" si="1"/>
        <v>0</v>
      </c>
      <c r="V16" s="18">
        <f t="shared" si="2"/>
        <v>0</v>
      </c>
      <c r="W16" s="18">
        <f t="shared" si="3"/>
        <v>0</v>
      </c>
      <c r="X16" s="18">
        <f t="shared" si="4"/>
        <v>0</v>
      </c>
      <c r="Y16" s="24"/>
      <c r="Z16" s="24"/>
      <c r="AA16" s="24"/>
      <c r="AB16" s="24"/>
      <c r="AC16" s="24"/>
      <c r="AD16" s="24"/>
      <c r="AE16" s="24"/>
      <c r="AF16" s="30" t="s">
        <v>218</v>
      </c>
      <c r="AG16" s="31" t="s">
        <v>99</v>
      </c>
      <c r="AH16" s="31" t="s">
        <v>100</v>
      </c>
      <c r="AI16" s="66">
        <v>45633</v>
      </c>
      <c r="AJ16" s="67" t="s">
        <v>255</v>
      </c>
      <c r="AK16" s="66" t="str">
        <f t="shared" si="5"/>
        <v>Dec'24</v>
      </c>
      <c r="AL16" s="25" t="e">
        <f t="shared" si="6"/>
        <v>#N/A</v>
      </c>
      <c r="AQ16" s="90">
        <v>46095</v>
      </c>
      <c r="BF16" s="8"/>
    </row>
    <row r="17" spans="1:58" ht="16" outlineLevel="1">
      <c r="A17" s="276" t="s">
        <v>199</v>
      </c>
      <c r="B17" s="8" t="s">
        <v>185</v>
      </c>
      <c r="C17" s="8" t="str">
        <f t="shared" si="0"/>
        <v>Brazil_P2kh.br.sa.bra.10_A</v>
      </c>
      <c r="D17" s="35" t="s">
        <v>44</v>
      </c>
      <c r="E17" s="35" t="s">
        <v>188</v>
      </c>
      <c r="F17" s="153">
        <v>18327</v>
      </c>
      <c r="G17" s="20">
        <v>46155</v>
      </c>
      <c r="H17" s="19">
        <v>46369</v>
      </c>
      <c r="I17" s="19"/>
      <c r="J17" s="88">
        <f>VLOOKUP(C17,'Wave wise Effort'!$C$10:$N$80,9,0)</f>
        <v>0</v>
      </c>
      <c r="K17" s="88">
        <f>VLOOKUP(C17,'Wave wise Effort'!$C$10:$N$80,10,0)</f>
        <v>0</v>
      </c>
      <c r="L17" s="88">
        <f>VLOOKUP(C17,'Wave wise Effort'!$C$10:$N$80,11,0)</f>
        <v>0</v>
      </c>
      <c r="M17" s="88">
        <f>VLOOKUP(C17,'Wave wise Effort'!$C$10:$N$80,12,0)</f>
        <v>1369.3333333333333</v>
      </c>
      <c r="N17" s="88"/>
      <c r="O17" s="19" t="str">
        <f t="shared" si="7"/>
        <v>May'26</v>
      </c>
      <c r="P17" s="19" t="str">
        <f t="shared" si="8"/>
        <v>Dec'26</v>
      </c>
      <c r="Q17" s="19"/>
      <c r="R17" s="248"/>
      <c r="T17" s="8" t="s">
        <v>365</v>
      </c>
      <c r="U17" s="18">
        <f t="shared" si="1"/>
        <v>0</v>
      </c>
      <c r="V17" s="18">
        <f t="shared" si="2"/>
        <v>0</v>
      </c>
      <c r="W17" s="18">
        <f t="shared" si="3"/>
        <v>0</v>
      </c>
      <c r="X17" s="18">
        <f t="shared" si="4"/>
        <v>0</v>
      </c>
      <c r="Y17" s="24"/>
      <c r="Z17" s="24"/>
      <c r="AA17" s="24"/>
      <c r="AB17" s="24"/>
      <c r="AC17" s="24"/>
      <c r="AD17" s="24"/>
      <c r="AE17" s="24"/>
      <c r="AF17" s="30" t="s">
        <v>218</v>
      </c>
      <c r="AG17" s="31" t="s">
        <v>97</v>
      </c>
      <c r="AH17" s="31" t="s">
        <v>98</v>
      </c>
      <c r="AI17" s="66">
        <v>45657</v>
      </c>
      <c r="AJ17" s="67" t="s">
        <v>255</v>
      </c>
      <c r="AK17" s="66" t="str">
        <f t="shared" si="5"/>
        <v>Dec'24</v>
      </c>
      <c r="AL17" s="25" t="e">
        <f t="shared" si="6"/>
        <v>#N/A</v>
      </c>
      <c r="AQ17" s="90">
        <v>46112</v>
      </c>
      <c r="BF17" s="8"/>
    </row>
    <row r="18" spans="1:58" ht="16" outlineLevel="1">
      <c r="A18" s="276" t="s">
        <v>199</v>
      </c>
      <c r="B18" s="8" t="s">
        <v>185</v>
      </c>
      <c r="C18" s="8" t="str">
        <f t="shared" si="0"/>
        <v>Brazil_P2kh.br.sa.bra.09_B</v>
      </c>
      <c r="D18" s="35" t="s">
        <v>43</v>
      </c>
      <c r="E18" s="35" t="s">
        <v>187</v>
      </c>
      <c r="F18" s="153">
        <v>27365</v>
      </c>
      <c r="G18" s="49">
        <v>46201</v>
      </c>
      <c r="H18" s="19">
        <v>46383</v>
      </c>
      <c r="I18" s="19"/>
      <c r="J18" s="88">
        <f>VLOOKUP(C18,'Wave wise Effort'!$C$10:$N$80,9,0)</f>
        <v>0</v>
      </c>
      <c r="K18" s="88">
        <f>VLOOKUP(C18,'Wave wise Effort'!$C$10:$N$80,10,0)</f>
        <v>0</v>
      </c>
      <c r="L18" s="88">
        <f>VLOOKUP(C18,'Wave wise Effort'!$C$10:$N$80,11,0)</f>
        <v>0</v>
      </c>
      <c r="M18" s="88">
        <f>VLOOKUP(C18,'Wave wise Effort'!$C$10:$N$80,12,0)</f>
        <v>1339.8666666666666</v>
      </c>
      <c r="N18" s="88"/>
      <c r="O18" s="19" t="str">
        <f t="shared" si="7"/>
        <v>Jun'26</v>
      </c>
      <c r="P18" s="19" t="str">
        <f t="shared" si="8"/>
        <v>Dec'26</v>
      </c>
      <c r="Q18" s="19"/>
      <c r="R18" s="248"/>
      <c r="T18" s="8" t="s">
        <v>366</v>
      </c>
      <c r="U18" s="18">
        <f t="shared" si="1"/>
        <v>0</v>
      </c>
      <c r="V18" s="18">
        <f t="shared" si="2"/>
        <v>0</v>
      </c>
      <c r="W18" s="18">
        <f t="shared" si="3"/>
        <v>0</v>
      </c>
      <c r="X18" s="18">
        <f t="shared" si="4"/>
        <v>0</v>
      </c>
      <c r="Y18" s="24"/>
      <c r="Z18" s="24"/>
      <c r="AA18" s="24"/>
      <c r="AB18" s="24"/>
      <c r="AC18" s="24"/>
      <c r="AD18" s="24"/>
      <c r="AE18" s="24"/>
      <c r="AF18" s="30" t="s">
        <v>218</v>
      </c>
      <c r="AG18" s="31" t="s">
        <v>103</v>
      </c>
      <c r="AH18" s="31" t="s">
        <v>104</v>
      </c>
      <c r="AI18" s="66">
        <v>45645</v>
      </c>
      <c r="AJ18" s="67" t="s">
        <v>255</v>
      </c>
      <c r="AK18" s="66" t="str">
        <f t="shared" si="5"/>
        <v>Dec'24</v>
      </c>
      <c r="AL18" s="25" t="e">
        <f t="shared" si="6"/>
        <v>#N/A</v>
      </c>
      <c r="AQ18" s="90">
        <v>46130</v>
      </c>
      <c r="BF18" s="8"/>
    </row>
    <row r="19" spans="1:58" ht="16" outlineLevel="1">
      <c r="A19" s="276" t="s">
        <v>199</v>
      </c>
      <c r="B19" s="8" t="s">
        <v>185</v>
      </c>
      <c r="C19" s="8" t="str">
        <f t="shared" si="0"/>
        <v>Brazil_P2kh.br.sa.bra.09_A</v>
      </c>
      <c r="D19" s="35" t="s">
        <v>42</v>
      </c>
      <c r="E19" s="9" t="s">
        <v>186</v>
      </c>
      <c r="F19" s="2">
        <v>8952</v>
      </c>
      <c r="G19" s="49">
        <v>46212</v>
      </c>
      <c r="H19" s="19">
        <v>46389</v>
      </c>
      <c r="I19" s="19"/>
      <c r="J19" s="88">
        <f>VLOOKUP(C19,'Wave wise Effort'!$C$10:$N$80,9,0)</f>
        <v>0</v>
      </c>
      <c r="K19" s="88">
        <f>VLOOKUP(C19,'Wave wise Effort'!$C$10:$N$80,10,0)</f>
        <v>0</v>
      </c>
      <c r="L19" s="88">
        <f>VLOOKUP(C19,'Wave wise Effort'!$C$10:$N$80,11,0)</f>
        <v>0</v>
      </c>
      <c r="M19" s="88">
        <f>VLOOKUP(C19,'Wave wise Effort'!$C$10:$N$80,12,0)</f>
        <v>548.13333333333333</v>
      </c>
      <c r="N19" s="88"/>
      <c r="O19" s="19" t="str">
        <f t="shared" si="7"/>
        <v>Jul'26</v>
      </c>
      <c r="P19" s="19" t="str">
        <f t="shared" si="8"/>
        <v>Jan'27</v>
      </c>
      <c r="Q19" s="19"/>
      <c r="R19" s="248"/>
      <c r="T19" s="8" t="s">
        <v>370</v>
      </c>
      <c r="U19" s="18">
        <f t="shared" si="1"/>
        <v>0</v>
      </c>
      <c r="V19" s="18">
        <f t="shared" si="2"/>
        <v>0</v>
      </c>
      <c r="W19" s="18">
        <f t="shared" si="3"/>
        <v>0</v>
      </c>
      <c r="X19" s="18">
        <f t="shared" si="4"/>
        <v>0</v>
      </c>
      <c r="Y19" s="24"/>
      <c r="Z19" s="24"/>
      <c r="AA19" s="24"/>
      <c r="AB19" s="24"/>
      <c r="AC19" s="24"/>
      <c r="AD19" s="24"/>
      <c r="AE19" s="24"/>
      <c r="AF19" s="30" t="s">
        <v>218</v>
      </c>
      <c r="AG19" s="31" t="s">
        <v>105</v>
      </c>
      <c r="AH19" s="31" t="s">
        <v>106</v>
      </c>
      <c r="AI19" s="66">
        <v>45668</v>
      </c>
      <c r="AJ19" s="67" t="s">
        <v>255</v>
      </c>
      <c r="AK19" s="66" t="str">
        <f t="shared" si="5"/>
        <v>Jan'25</v>
      </c>
      <c r="AL19" s="25" t="e">
        <f t="shared" si="6"/>
        <v>#N/A</v>
      </c>
      <c r="AQ19" s="90">
        <v>46143</v>
      </c>
      <c r="BF19" s="8"/>
    </row>
    <row r="20" spans="1:58" ht="16" outlineLevel="1">
      <c r="A20" s="276" t="s">
        <v>199</v>
      </c>
      <c r="B20" s="8" t="s">
        <v>179</v>
      </c>
      <c r="C20" s="8" t="str">
        <f t="shared" si="0"/>
        <v>Brazil_P2kh.br.sa.bra.07_A</v>
      </c>
      <c r="D20" s="35" t="s">
        <v>36</v>
      </c>
      <c r="E20" s="9" t="s">
        <v>180</v>
      </c>
      <c r="F20" s="2">
        <v>28875</v>
      </c>
      <c r="G20" s="262">
        <v>46312</v>
      </c>
      <c r="H20" s="19">
        <v>46404</v>
      </c>
      <c r="I20" s="19"/>
      <c r="J20" s="88">
        <f>VLOOKUP(C20,'Wave wise Effort'!$C$10:$N$80,9,0)</f>
        <v>0</v>
      </c>
      <c r="K20" s="88">
        <f>VLOOKUP(C20,'Wave wise Effort'!$C$10:$N$80,10,0)</f>
        <v>86.533333333333331</v>
      </c>
      <c r="L20" s="88">
        <f>VLOOKUP(C20,'Wave wise Effort'!$C$10:$N$80,11,0)</f>
        <v>1184.5333333333333</v>
      </c>
      <c r="M20" s="88">
        <f>VLOOKUP(C20,'Wave wise Effort'!$C$10:$N$80,12,0)</f>
        <v>1969.6</v>
      </c>
      <c r="N20" s="88"/>
      <c r="O20" s="19" t="str">
        <f t="shared" si="7"/>
        <v>Oct'26</v>
      </c>
      <c r="P20" s="19" t="str">
        <f t="shared" si="8"/>
        <v>Jan'27</v>
      </c>
      <c r="Q20" s="19"/>
      <c r="R20" s="248"/>
      <c r="T20" s="8" t="s">
        <v>371</v>
      </c>
      <c r="U20" s="18">
        <f t="shared" si="1"/>
        <v>202.53333333333336</v>
      </c>
      <c r="V20" s="18">
        <f t="shared" si="2"/>
        <v>0</v>
      </c>
      <c r="W20" s="18">
        <f t="shared" si="3"/>
        <v>31.6</v>
      </c>
      <c r="X20" s="18">
        <f t="shared" si="4"/>
        <v>0</v>
      </c>
      <c r="Y20" s="24"/>
      <c r="Z20" s="24"/>
      <c r="AA20" s="24"/>
      <c r="AB20" s="24"/>
      <c r="AC20" s="24"/>
      <c r="AD20" s="24"/>
      <c r="AE20" s="24"/>
      <c r="AF20" s="30" t="s">
        <v>218</v>
      </c>
      <c r="AG20" s="31" t="s">
        <v>113</v>
      </c>
      <c r="AH20" s="31" t="s">
        <v>114</v>
      </c>
      <c r="AI20" s="66">
        <v>45685</v>
      </c>
      <c r="AJ20" s="67" t="s">
        <v>255</v>
      </c>
      <c r="AK20" s="66" t="str">
        <f t="shared" si="5"/>
        <v>Jan'25</v>
      </c>
      <c r="AL20" s="25" t="e">
        <f t="shared" si="6"/>
        <v>#N/A</v>
      </c>
      <c r="AQ20" s="90">
        <v>46175</v>
      </c>
      <c r="BF20" s="8"/>
    </row>
    <row r="21" spans="1:58" ht="16" outlineLevel="1">
      <c r="A21" s="276" t="s">
        <v>199</v>
      </c>
      <c r="B21" s="8" t="s">
        <v>179</v>
      </c>
      <c r="C21" s="8" t="str">
        <f t="shared" si="0"/>
        <v>Brazil_P2kh.br.sa.bra.06</v>
      </c>
      <c r="D21" s="35" t="s">
        <v>34</v>
      </c>
      <c r="E21" s="9" t="s">
        <v>35</v>
      </c>
      <c r="F21" s="2">
        <v>24358</v>
      </c>
      <c r="G21" s="49">
        <v>46233</v>
      </c>
      <c r="H21" s="19">
        <v>46414</v>
      </c>
      <c r="I21" s="19"/>
      <c r="J21" s="88">
        <f>VLOOKUP(C21,'Wave wise Effort'!$C$10:$N$80,9,0)</f>
        <v>0</v>
      </c>
      <c r="K21" s="88">
        <f>VLOOKUP(C21,'Wave wise Effort'!$C$10:$N$80,10,0)</f>
        <v>0</v>
      </c>
      <c r="L21" s="88">
        <f>VLOOKUP(C21,'Wave wise Effort'!$C$10:$N$80,11,0)</f>
        <v>1143.4666666666667</v>
      </c>
      <c r="M21" s="88">
        <f>VLOOKUP(C21,'Wave wise Effort'!$C$10:$N$80,12,0)</f>
        <v>1914.1333333333334</v>
      </c>
      <c r="N21" s="88"/>
      <c r="O21" s="19" t="str">
        <f t="shared" si="7"/>
        <v>Jul'26</v>
      </c>
      <c r="P21" s="19" t="str">
        <f t="shared" si="8"/>
        <v>Jan'27</v>
      </c>
      <c r="Q21" s="19"/>
      <c r="R21" s="248"/>
      <c r="T21" s="8" t="s">
        <v>377</v>
      </c>
      <c r="U21" s="18">
        <f t="shared" si="1"/>
        <v>346.13333333333333</v>
      </c>
      <c r="V21" s="18">
        <f t="shared" si="2"/>
        <v>0</v>
      </c>
      <c r="W21" s="18">
        <f t="shared" si="3"/>
        <v>54</v>
      </c>
      <c r="X21" s="18">
        <f t="shared" si="4"/>
        <v>0</v>
      </c>
      <c r="Y21" s="24"/>
      <c r="Z21" s="24"/>
      <c r="AA21" s="24"/>
      <c r="AB21" s="24"/>
      <c r="AC21" s="24"/>
      <c r="AD21" s="24"/>
      <c r="AE21" s="24"/>
      <c r="AF21" s="30" t="s">
        <v>218</v>
      </c>
      <c r="AG21" s="31" t="s">
        <v>107</v>
      </c>
      <c r="AH21" s="31" t="s">
        <v>108</v>
      </c>
      <c r="AI21" s="66">
        <v>45717</v>
      </c>
      <c r="AJ21" s="67" t="s">
        <v>255</v>
      </c>
      <c r="AK21" s="66" t="str">
        <f t="shared" si="5"/>
        <v>Mar'25</v>
      </c>
      <c r="AL21" s="25" t="e">
        <f t="shared" si="6"/>
        <v>#N/A</v>
      </c>
      <c r="AQ21" s="90">
        <v>46261</v>
      </c>
      <c r="BF21" s="8"/>
    </row>
    <row r="22" spans="1:58" ht="16" outlineLevel="1">
      <c r="A22" s="276" t="s">
        <v>199</v>
      </c>
      <c r="B22" s="8" t="s">
        <v>179</v>
      </c>
      <c r="C22" s="8" t="str">
        <f t="shared" si="0"/>
        <v>Brazil_P2kh.br.sa.bra.05</v>
      </c>
      <c r="D22" s="35" t="s">
        <v>32</v>
      </c>
      <c r="E22" s="9" t="s">
        <v>33</v>
      </c>
      <c r="F22" s="2">
        <v>12741</v>
      </c>
      <c r="G22" s="49">
        <v>46245</v>
      </c>
      <c r="H22" s="19">
        <v>46419</v>
      </c>
      <c r="I22" s="19"/>
      <c r="J22" s="88">
        <f>VLOOKUP(C22,'Wave wise Effort'!$C$10:$N$80,9,0)</f>
        <v>0</v>
      </c>
      <c r="K22" s="88">
        <f>VLOOKUP(C22,'Wave wise Effort'!$C$10:$N$80,10,0)</f>
        <v>0</v>
      </c>
      <c r="L22" s="88">
        <f>VLOOKUP(C22,'Wave wise Effort'!$C$10:$N$80,11,0)</f>
        <v>0</v>
      </c>
      <c r="M22" s="88">
        <f>VLOOKUP(C22,'Wave wise Effort'!$C$10:$N$80,12,0)</f>
        <v>549.86666666666667</v>
      </c>
      <c r="N22" s="88"/>
      <c r="O22" s="19" t="str">
        <f t="shared" si="7"/>
        <v>Aug'26</v>
      </c>
      <c r="P22" s="19" t="str">
        <f t="shared" si="8"/>
        <v>Feb'27</v>
      </c>
      <c r="Q22" s="19"/>
      <c r="R22" s="248"/>
      <c r="T22" s="1" t="s">
        <v>524</v>
      </c>
      <c r="U22" s="18">
        <f t="shared" si="1"/>
        <v>1701.3333333333335</v>
      </c>
      <c r="V22" s="18">
        <f t="shared" si="2"/>
        <v>0</v>
      </c>
      <c r="W22" s="18">
        <f t="shared" si="3"/>
        <v>265.73333333333335</v>
      </c>
      <c r="X22" s="18">
        <f t="shared" si="4"/>
        <v>0</v>
      </c>
      <c r="Y22" s="24"/>
      <c r="Z22" s="24"/>
      <c r="AA22" s="24"/>
      <c r="AB22" s="24"/>
      <c r="AC22" s="24"/>
      <c r="AD22" s="24"/>
      <c r="AE22" s="24"/>
      <c r="AF22" s="30" t="s">
        <v>218</v>
      </c>
      <c r="AG22" s="31" t="s">
        <v>109</v>
      </c>
      <c r="AH22" s="31" t="s">
        <v>110</v>
      </c>
      <c r="AI22" s="66">
        <v>45731</v>
      </c>
      <c r="AJ22" s="67" t="s">
        <v>255</v>
      </c>
      <c r="AK22" s="66" t="str">
        <f t="shared" si="5"/>
        <v>Mar'25</v>
      </c>
      <c r="AL22" s="25" t="e">
        <f t="shared" si="6"/>
        <v>#N/A</v>
      </c>
      <c r="AQ22" s="90">
        <v>46249</v>
      </c>
      <c r="BF22" s="8"/>
    </row>
    <row r="23" spans="1:58" ht="16" outlineLevel="1">
      <c r="A23" s="276" t="s">
        <v>199</v>
      </c>
      <c r="B23" s="8" t="s">
        <v>179</v>
      </c>
      <c r="C23" s="8" t="str">
        <f t="shared" si="0"/>
        <v>Brazil_P2kh.br.sa.bra.07_B</v>
      </c>
      <c r="D23" s="35" t="s">
        <v>37</v>
      </c>
      <c r="E23" s="9" t="s">
        <v>181</v>
      </c>
      <c r="F23" s="2">
        <v>16540</v>
      </c>
      <c r="G23" s="145">
        <v>46350</v>
      </c>
      <c r="H23" s="19">
        <v>46427</v>
      </c>
      <c r="I23" s="19"/>
      <c r="J23" s="88">
        <f>VLOOKUP(C23,'Wave wise Effort'!$C$10:$N$80,9,0)</f>
        <v>0</v>
      </c>
      <c r="K23" s="88">
        <f>VLOOKUP(C23,'Wave wise Effort'!$C$10:$N$80,10,0)</f>
        <v>246</v>
      </c>
      <c r="L23" s="88">
        <f>VLOOKUP(C23,'Wave wise Effort'!$C$10:$N$80,11,0)</f>
        <v>732</v>
      </c>
      <c r="M23" s="88">
        <f>VLOOKUP(C23,'Wave wise Effort'!$C$10:$N$80,12,0)</f>
        <v>1124.8</v>
      </c>
      <c r="N23" s="88"/>
      <c r="O23" s="19" t="str">
        <f t="shared" si="7"/>
        <v>Nov'26</v>
      </c>
      <c r="P23" s="19" t="str">
        <f t="shared" si="8"/>
        <v>Feb'27</v>
      </c>
      <c r="Q23" s="19"/>
      <c r="R23" s="248"/>
      <c r="T23" s="1" t="s">
        <v>525</v>
      </c>
      <c r="U23" s="18">
        <f t="shared" si="1"/>
        <v>1502</v>
      </c>
      <c r="V23" s="18">
        <f t="shared" si="2"/>
        <v>0</v>
      </c>
      <c r="W23" s="18">
        <f t="shared" si="3"/>
        <v>234.53333333333333</v>
      </c>
      <c r="X23" s="18">
        <f t="shared" si="4"/>
        <v>0</v>
      </c>
      <c r="Y23" s="24"/>
      <c r="Z23" s="24"/>
      <c r="AA23" s="24"/>
      <c r="AB23" s="24"/>
      <c r="AC23" s="24"/>
      <c r="AD23" s="24"/>
      <c r="AE23" s="24"/>
      <c r="AF23" s="30" t="s">
        <v>218</v>
      </c>
      <c r="AG23" s="31" t="s">
        <v>111</v>
      </c>
      <c r="AH23" s="31" t="s">
        <v>112</v>
      </c>
      <c r="AI23" s="89">
        <v>45790</v>
      </c>
      <c r="AJ23" s="31" t="s">
        <v>266</v>
      </c>
      <c r="AK23" s="68" t="str">
        <f t="shared" si="5"/>
        <v>May'25</v>
      </c>
      <c r="AL23" s="25" t="e">
        <f t="shared" si="6"/>
        <v>#N/A</v>
      </c>
      <c r="AQ23" s="90">
        <v>46297</v>
      </c>
      <c r="BF23" s="8"/>
    </row>
    <row r="24" spans="1:58" ht="16" outlineLevel="1">
      <c r="A24" s="276" t="s">
        <v>199</v>
      </c>
      <c r="B24" s="8" t="s">
        <v>182</v>
      </c>
      <c r="C24" s="8" t="str">
        <f t="shared" si="0"/>
        <v>Brazil_P2kh.br.sa.bra.04</v>
      </c>
      <c r="D24" s="35" t="s">
        <v>30</v>
      </c>
      <c r="E24" s="9" t="s">
        <v>31</v>
      </c>
      <c r="F24" s="2">
        <v>13464</v>
      </c>
      <c r="G24" s="49">
        <v>46253</v>
      </c>
      <c r="H24" s="19">
        <v>46434</v>
      </c>
      <c r="I24" s="19"/>
      <c r="J24" s="88">
        <f>VLOOKUP(C24,'Wave wise Effort'!$C$10:$N$80,9,0)</f>
        <v>0</v>
      </c>
      <c r="K24" s="88">
        <f>VLOOKUP(C24,'Wave wise Effort'!$C$10:$N$80,10,0)</f>
        <v>0</v>
      </c>
      <c r="L24" s="88">
        <f>VLOOKUP(C24,'Wave wise Effort'!$C$10:$N$80,11,0)</f>
        <v>316.53333333333336</v>
      </c>
      <c r="M24" s="88">
        <f>VLOOKUP(C24,'Wave wise Effort'!$C$10:$N$80,12,0)</f>
        <v>872.66666666666663</v>
      </c>
      <c r="N24" s="88"/>
      <c r="O24" s="19" t="str">
        <f t="shared" si="7"/>
        <v>Aug'26</v>
      </c>
      <c r="P24" s="19" t="str">
        <f t="shared" si="8"/>
        <v>Feb'27</v>
      </c>
      <c r="Q24" s="19"/>
      <c r="R24" s="248"/>
      <c r="T24" s="1" t="s">
        <v>526</v>
      </c>
      <c r="U24" s="18">
        <f t="shared" si="1"/>
        <v>1202.1333333333332</v>
      </c>
      <c r="V24" s="18">
        <f t="shared" si="2"/>
        <v>81.066666666666663</v>
      </c>
      <c r="W24" s="18">
        <f t="shared" si="3"/>
        <v>187.86666666666667</v>
      </c>
      <c r="X24" s="18">
        <f t="shared" si="4"/>
        <v>0</v>
      </c>
      <c r="Y24" s="24"/>
      <c r="Z24" s="24"/>
      <c r="AA24" s="24"/>
      <c r="AB24" s="24"/>
      <c r="AC24" s="24"/>
      <c r="AD24" s="24"/>
      <c r="AE24" s="24"/>
      <c r="AF24" s="30" t="s">
        <v>218</v>
      </c>
      <c r="AG24" s="31" t="s">
        <v>131</v>
      </c>
      <c r="AH24" s="31" t="s">
        <v>132</v>
      </c>
      <c r="AI24" s="69">
        <v>45720</v>
      </c>
      <c r="AJ24" s="70" t="s">
        <v>267</v>
      </c>
      <c r="AK24" s="69" t="str">
        <f t="shared" si="5"/>
        <v>Mar'25</v>
      </c>
      <c r="AL24" s="25" t="e">
        <f t="shared" si="6"/>
        <v>#N/A</v>
      </c>
      <c r="AQ24" s="90">
        <v>46315</v>
      </c>
      <c r="BF24" s="8"/>
    </row>
    <row r="25" spans="1:58" ht="16" outlineLevel="1">
      <c r="A25" s="276" t="s">
        <v>199</v>
      </c>
      <c r="B25" s="8" t="s">
        <v>182</v>
      </c>
      <c r="C25" s="8" t="str">
        <f t="shared" si="0"/>
        <v>Brazil_P2kh.br.sa.bra.01</v>
      </c>
      <c r="D25" s="35" t="s">
        <v>24</v>
      </c>
      <c r="E25" s="9" t="s">
        <v>25</v>
      </c>
      <c r="F25" s="2">
        <v>5848</v>
      </c>
      <c r="G25" s="49">
        <v>46259</v>
      </c>
      <c r="H25" s="19">
        <v>46435</v>
      </c>
      <c r="I25" s="19"/>
      <c r="J25" s="88">
        <f>VLOOKUP(C25,'Wave wise Effort'!$C$10:$N$80,9,0)</f>
        <v>0</v>
      </c>
      <c r="K25" s="88">
        <f>VLOOKUP(C25,'Wave wise Effort'!$C$10:$N$80,10,0)</f>
        <v>0</v>
      </c>
      <c r="L25" s="88">
        <f>VLOOKUP(C25,'Wave wise Effort'!$C$10:$N$80,11,0)</f>
        <v>0</v>
      </c>
      <c r="M25" s="88">
        <f>VLOOKUP(C25,'Wave wise Effort'!$C$10:$N$80,12,0)</f>
        <v>389.33333333333331</v>
      </c>
      <c r="N25" s="88"/>
      <c r="O25" s="19" t="str">
        <f t="shared" si="7"/>
        <v>Aug'26</v>
      </c>
      <c r="P25" s="19" t="str">
        <f t="shared" si="8"/>
        <v>Feb'27</v>
      </c>
      <c r="Q25" s="19"/>
      <c r="R25" s="248"/>
      <c r="T25" s="1" t="s">
        <v>527</v>
      </c>
      <c r="U25" s="18">
        <f t="shared" si="1"/>
        <v>412</v>
      </c>
      <c r="V25" s="18">
        <f t="shared" si="2"/>
        <v>138.26666666666668</v>
      </c>
      <c r="W25" s="18">
        <f t="shared" si="3"/>
        <v>64.400000000000006</v>
      </c>
      <c r="X25" s="18">
        <f t="shared" si="4"/>
        <v>0</v>
      </c>
      <c r="Y25" s="24"/>
      <c r="Z25" s="24"/>
      <c r="AA25" s="24"/>
      <c r="AB25" s="24"/>
      <c r="AC25" s="24"/>
      <c r="AD25" s="24"/>
      <c r="AE25" s="24"/>
      <c r="AF25" s="30" t="s">
        <v>218</v>
      </c>
      <c r="AG25" s="31" t="s">
        <v>95</v>
      </c>
      <c r="AH25" s="31" t="s">
        <v>96</v>
      </c>
      <c r="AI25" s="66">
        <v>45573</v>
      </c>
      <c r="AJ25" s="67" t="s">
        <v>255</v>
      </c>
      <c r="AK25" s="66" t="str">
        <f t="shared" si="5"/>
        <v>Oct'24</v>
      </c>
      <c r="AL25" s="25" t="e">
        <f t="shared" si="6"/>
        <v>#N/A</v>
      </c>
      <c r="AQ25" s="90">
        <v>46381</v>
      </c>
      <c r="BF25" s="8"/>
    </row>
    <row r="26" spans="1:58" outlineLevel="1">
      <c r="A26" s="276" t="s">
        <v>199</v>
      </c>
      <c r="B26" s="8" t="s">
        <v>182</v>
      </c>
      <c r="C26" s="8" t="str">
        <f t="shared" si="0"/>
        <v>Brazil_P2kh.br.sa.bra.03</v>
      </c>
      <c r="D26" s="35" t="s">
        <v>28</v>
      </c>
      <c r="E26" s="9" t="s">
        <v>29</v>
      </c>
      <c r="F26" s="2">
        <v>8948</v>
      </c>
      <c r="G26" s="49">
        <v>46272</v>
      </c>
      <c r="H26" s="19">
        <v>46437</v>
      </c>
      <c r="I26" s="19"/>
      <c r="J26" s="88">
        <f>VLOOKUP(C26,'Wave wise Effort'!$C$10:$N$80,9,0)</f>
        <v>0</v>
      </c>
      <c r="K26" s="88">
        <f>VLOOKUP(C26,'Wave wise Effort'!$C$10:$N$80,10,0)</f>
        <v>229.46666666666667</v>
      </c>
      <c r="L26" s="88">
        <f>VLOOKUP(C26,'Wave wise Effort'!$C$10:$N$80,11,0)</f>
        <v>95.733333333333334</v>
      </c>
      <c r="M26" s="88">
        <f>VLOOKUP(C26,'Wave wise Effort'!$C$10:$N$80,12,0)</f>
        <v>740.5333333333333</v>
      </c>
      <c r="N26" s="88"/>
      <c r="O26" s="19" t="str">
        <f t="shared" si="7"/>
        <v>Sep'26</v>
      </c>
      <c r="P26" s="19" t="str">
        <f t="shared" si="8"/>
        <v>Feb'27</v>
      </c>
      <c r="Q26" s="19"/>
      <c r="R26" s="248"/>
      <c r="T26" s="1" t="s">
        <v>528</v>
      </c>
      <c r="U26" s="18">
        <f t="shared" si="1"/>
        <v>968.26666666666665</v>
      </c>
      <c r="V26" s="18">
        <f t="shared" si="2"/>
        <v>679.4666666666667</v>
      </c>
      <c r="W26" s="18">
        <f t="shared" si="3"/>
        <v>151.19999999999999</v>
      </c>
      <c r="X26" s="18">
        <f t="shared" si="4"/>
        <v>0</v>
      </c>
      <c r="Y26" s="24"/>
      <c r="Z26" s="24"/>
      <c r="AA26" s="24"/>
      <c r="AB26" s="24"/>
      <c r="AC26" s="24"/>
      <c r="AD26" s="24"/>
      <c r="AE26" s="24"/>
      <c r="AF26" s="30" t="s">
        <v>218</v>
      </c>
      <c r="AG26" s="31" t="s">
        <v>91</v>
      </c>
      <c r="AH26" s="31" t="s">
        <v>92</v>
      </c>
      <c r="AI26" s="66">
        <v>45601</v>
      </c>
      <c r="AJ26" s="67" t="s">
        <v>255</v>
      </c>
      <c r="AK26" s="66" t="str">
        <f t="shared" si="5"/>
        <v>Nov'24</v>
      </c>
      <c r="AL26" s="25" t="e">
        <f t="shared" si="6"/>
        <v>#N/A</v>
      </c>
      <c r="BF26" s="8"/>
    </row>
    <row r="27" spans="1:58" ht="14" outlineLevel="1" thickBot="1">
      <c r="A27" s="277" t="s">
        <v>199</v>
      </c>
      <c r="B27" s="11" t="s">
        <v>182</v>
      </c>
      <c r="C27" s="11" t="str">
        <f t="shared" si="0"/>
        <v>Brazil_P2kh.br.sa.bra.02</v>
      </c>
      <c r="D27" s="278" t="s">
        <v>26</v>
      </c>
      <c r="E27" s="279" t="s">
        <v>27</v>
      </c>
      <c r="F27" s="117">
        <v>13424</v>
      </c>
      <c r="G27" s="49">
        <v>46276</v>
      </c>
      <c r="H27" s="145">
        <v>46437</v>
      </c>
      <c r="I27" s="271"/>
      <c r="J27" s="272">
        <f>VLOOKUP(C27,'Wave wise Effort'!$C$10:$N$80,9,0)</f>
        <v>0</v>
      </c>
      <c r="K27" s="272">
        <f>VLOOKUP(C27,'Wave wise Effort'!$C$10:$N$80,10,0)</f>
        <v>0</v>
      </c>
      <c r="L27" s="272">
        <f>VLOOKUP(C27,'Wave wise Effort'!$C$10:$N$80,11,0)</f>
        <v>17.466666666666665</v>
      </c>
      <c r="M27" s="272">
        <f>VLOOKUP(C27,'Wave wise Effort'!$C$10:$N$80,12,0)</f>
        <v>512</v>
      </c>
      <c r="N27" s="272"/>
      <c r="O27" s="271" t="str">
        <f t="shared" si="7"/>
        <v>Sep'26</v>
      </c>
      <c r="P27" s="271" t="str">
        <f t="shared" si="8"/>
        <v>Feb'27</v>
      </c>
      <c r="Q27" s="271"/>
      <c r="R27" s="249"/>
      <c r="T27" s="8" t="s">
        <v>529</v>
      </c>
      <c r="U27" s="18">
        <f t="shared" si="1"/>
        <v>1024.6666666666667</v>
      </c>
      <c r="V27" s="18">
        <f t="shared" si="2"/>
        <v>255.2</v>
      </c>
      <c r="W27" s="18">
        <f t="shared" si="3"/>
        <v>160</v>
      </c>
      <c r="X27" s="18">
        <f t="shared" si="4"/>
        <v>0</v>
      </c>
      <c r="Y27" s="24"/>
      <c r="Z27" s="24"/>
      <c r="AA27" s="24"/>
      <c r="AB27" s="24"/>
      <c r="AC27" s="24"/>
      <c r="AD27" s="24"/>
      <c r="AE27" s="24"/>
      <c r="AF27" s="30" t="s">
        <v>218</v>
      </c>
      <c r="AG27" s="31" t="s">
        <v>93</v>
      </c>
      <c r="AH27" s="31" t="s">
        <v>94</v>
      </c>
      <c r="AI27" s="66">
        <v>45612</v>
      </c>
      <c r="AJ27" s="67" t="s">
        <v>255</v>
      </c>
      <c r="AK27" s="66" t="str">
        <f t="shared" si="5"/>
        <v>Nov'24</v>
      </c>
      <c r="AL27" s="25" t="e">
        <f t="shared" si="6"/>
        <v>#N/A</v>
      </c>
      <c r="BF27" s="8"/>
    </row>
    <row r="28" spans="1:58" outlineLevel="1">
      <c r="A28" s="122" t="s">
        <v>425</v>
      </c>
      <c r="B28" s="123" t="s">
        <v>429</v>
      </c>
      <c r="C28" s="123" t="str">
        <f t="shared" ref="C28" si="9">A28&amp;D28</f>
        <v>Indonesiakh.br.as.idn.01</v>
      </c>
      <c r="D28" s="123" t="s">
        <v>472</v>
      </c>
      <c r="E28" s="175" t="s">
        <v>473</v>
      </c>
      <c r="F28" s="207">
        <v>7632.6118910981922</v>
      </c>
      <c r="G28" s="19">
        <v>46594</v>
      </c>
      <c r="H28" s="19">
        <v>46719</v>
      </c>
      <c r="I28" s="269"/>
      <c r="J28" s="270">
        <f>VLOOKUP(C28,'Wave wise Effort'!$C$10:$N$80,9,0)</f>
        <v>31.6</v>
      </c>
      <c r="K28" s="270">
        <f>VLOOKUP(C28,'Wave wise Effort'!$C$10:$N$80,10,0)</f>
        <v>90.13333333333334</v>
      </c>
      <c r="L28" s="270">
        <f>VLOOKUP(C28,'Wave wise Effort'!$C$10:$N$80,11,0)</f>
        <v>112.4</v>
      </c>
      <c r="M28" s="270">
        <f>VLOOKUP(C28,'Wave wise Effort'!$C$10:$N$80,12,0)</f>
        <v>81.066666666666663</v>
      </c>
      <c r="N28" s="270"/>
      <c r="O28" s="269" t="str">
        <f t="shared" si="7"/>
        <v>Jul'27</v>
      </c>
      <c r="P28" s="269" t="str">
        <f t="shared" si="8"/>
        <v>Nov'27</v>
      </c>
      <c r="Q28" s="269"/>
      <c r="R28" s="247"/>
      <c r="T28" s="8" t="s">
        <v>530</v>
      </c>
      <c r="U28" s="18">
        <f t="shared" si="1"/>
        <v>1262.9333333333334</v>
      </c>
      <c r="V28" s="18">
        <f t="shared" si="2"/>
        <v>345.33333333333337</v>
      </c>
      <c r="W28" s="18">
        <f t="shared" si="3"/>
        <v>202</v>
      </c>
      <c r="X28" s="18">
        <f t="shared" si="4"/>
        <v>0</v>
      </c>
      <c r="Y28" s="24"/>
      <c r="Z28" s="24"/>
      <c r="AA28" s="24"/>
      <c r="AB28" s="24"/>
      <c r="AC28" s="24"/>
      <c r="AD28" s="24"/>
      <c r="AE28" s="24"/>
      <c r="AF28" s="30" t="s">
        <v>218</v>
      </c>
      <c r="AG28" s="31" t="s">
        <v>89</v>
      </c>
      <c r="AH28" s="31" t="s">
        <v>90</v>
      </c>
      <c r="AI28" s="89">
        <v>45782</v>
      </c>
      <c r="AJ28" s="31" t="s">
        <v>266</v>
      </c>
      <c r="AK28" s="68" t="str">
        <f t="shared" si="5"/>
        <v>May'25</v>
      </c>
      <c r="AL28" s="25" t="e">
        <f t="shared" si="6"/>
        <v>#N/A</v>
      </c>
      <c r="BF28" s="8"/>
    </row>
    <row r="29" spans="1:58" outlineLevel="1">
      <c r="A29" s="14" t="s">
        <v>425</v>
      </c>
      <c r="B29" s="8" t="s">
        <v>429</v>
      </c>
      <c r="C29" s="8" t="str">
        <f t="shared" ref="C29:C47" si="10">A29&amp;D29</f>
        <v>Indonesiakh.br.as.idn.05</v>
      </c>
      <c r="D29" s="8" t="s">
        <v>474</v>
      </c>
      <c r="E29" s="186" t="s">
        <v>475</v>
      </c>
      <c r="F29" s="2">
        <v>11419.855856456121</v>
      </c>
      <c r="G29" s="19">
        <v>46627</v>
      </c>
      <c r="H29" s="19">
        <v>46739</v>
      </c>
      <c r="I29" s="19"/>
      <c r="J29" s="88">
        <f>VLOOKUP(C29,'Wave wise Effort'!$C$10:$N$80,9,0)</f>
        <v>54</v>
      </c>
      <c r="K29" s="88">
        <f>VLOOKUP(C29,'Wave wise Effort'!$C$10:$N$80,10,0)</f>
        <v>154</v>
      </c>
      <c r="L29" s="88">
        <f>VLOOKUP(C29,'Wave wise Effort'!$C$10:$N$80,11,0)</f>
        <v>192.13333333333333</v>
      </c>
      <c r="M29" s="88">
        <f>VLOOKUP(C29,'Wave wise Effort'!$C$10:$N$80,12,0)</f>
        <v>138.26666666666668</v>
      </c>
      <c r="N29" s="88"/>
      <c r="O29" s="19" t="str">
        <f t="shared" si="7"/>
        <v>Aug'27</v>
      </c>
      <c r="P29" s="19" t="str">
        <f t="shared" si="8"/>
        <v>Dec'27</v>
      </c>
      <c r="Q29" s="19"/>
      <c r="R29" s="248"/>
      <c r="T29" s="8" t="s">
        <v>531</v>
      </c>
      <c r="U29" s="18">
        <f t="shared" si="1"/>
        <v>1459.3333333333335</v>
      </c>
      <c r="V29" s="18">
        <f t="shared" si="2"/>
        <v>480.5333333333333</v>
      </c>
      <c r="W29" s="18">
        <f t="shared" si="3"/>
        <v>228</v>
      </c>
      <c r="X29" s="18">
        <f t="shared" si="4"/>
        <v>0</v>
      </c>
      <c r="Y29" s="24"/>
      <c r="Z29" s="24"/>
      <c r="AA29" s="24"/>
      <c r="AB29" s="24"/>
      <c r="AC29" s="24"/>
      <c r="AD29" s="24"/>
      <c r="AE29" s="24"/>
      <c r="AF29" s="30" t="s">
        <v>218</v>
      </c>
      <c r="AG29" s="31" t="s">
        <v>133</v>
      </c>
      <c r="AH29" s="31" t="s">
        <v>134</v>
      </c>
      <c r="AI29" s="66">
        <v>45799</v>
      </c>
      <c r="AJ29" s="67" t="s">
        <v>266</v>
      </c>
      <c r="AK29" s="66" t="str">
        <f t="shared" si="5"/>
        <v>May'25</v>
      </c>
      <c r="AL29" s="25" t="e">
        <f t="shared" si="6"/>
        <v>#N/A</v>
      </c>
      <c r="BF29" s="8"/>
    </row>
    <row r="30" spans="1:58" outlineLevel="1">
      <c r="A30" s="14" t="s">
        <v>425</v>
      </c>
      <c r="B30" s="8" t="s">
        <v>429</v>
      </c>
      <c r="C30" s="8" t="str">
        <f t="shared" si="10"/>
        <v>Indonesiakh.br.as.idn.04</v>
      </c>
      <c r="D30" s="8" t="s">
        <v>476</v>
      </c>
      <c r="E30" s="186" t="s">
        <v>477</v>
      </c>
      <c r="F30" s="2">
        <v>21126.636355858969</v>
      </c>
      <c r="G30" s="19">
        <v>46639</v>
      </c>
      <c r="H30" s="19">
        <v>46754</v>
      </c>
      <c r="I30" s="19"/>
      <c r="J30" s="88">
        <f>VLOOKUP(C30,'Wave wise Effort'!$C$10:$N$80,9,0)</f>
        <v>92.933333333333337</v>
      </c>
      <c r="K30" s="88">
        <f>VLOOKUP(C30,'Wave wise Effort'!$C$10:$N$80,10,0)</f>
        <v>264.66666666666669</v>
      </c>
      <c r="L30" s="88">
        <f>VLOOKUP(C30,'Wave wise Effort'!$C$10:$N$80,11,0)</f>
        <v>330.4</v>
      </c>
      <c r="M30" s="88">
        <f>VLOOKUP(C30,'Wave wise Effort'!$C$10:$N$80,12,0)</f>
        <v>237.46666666666667</v>
      </c>
      <c r="N30" s="88"/>
      <c r="O30" s="19" t="str">
        <f t="shared" si="7"/>
        <v>Sep'27</v>
      </c>
      <c r="P30" s="19" t="str">
        <f t="shared" si="8"/>
        <v>Jan'28</v>
      </c>
      <c r="Q30" s="19"/>
      <c r="R30" s="248"/>
      <c r="T30" s="8" t="s">
        <v>532</v>
      </c>
      <c r="U30" s="18">
        <f t="shared" si="1"/>
        <v>525.20000000000005</v>
      </c>
      <c r="V30" s="18">
        <f t="shared" si="2"/>
        <v>551.6</v>
      </c>
      <c r="W30" s="18">
        <f t="shared" si="3"/>
        <v>112.26666666666667</v>
      </c>
      <c r="X30" s="18">
        <f t="shared" si="4"/>
        <v>0</v>
      </c>
      <c r="Y30" s="24"/>
      <c r="Z30" s="24"/>
      <c r="AA30" s="24"/>
      <c r="AB30" s="24"/>
      <c r="AC30" s="24"/>
      <c r="AD30" s="24"/>
      <c r="AE30" s="24"/>
      <c r="AF30" s="30" t="s">
        <v>218</v>
      </c>
      <c r="AG30" s="31" t="s">
        <v>141</v>
      </c>
      <c r="AH30" s="31" t="s">
        <v>142</v>
      </c>
      <c r="AI30" s="69">
        <v>45723</v>
      </c>
      <c r="AJ30" s="70" t="s">
        <v>267</v>
      </c>
      <c r="AK30" s="69" t="str">
        <f t="shared" si="5"/>
        <v>Mar'25</v>
      </c>
      <c r="AL30" s="25" t="e">
        <f t="shared" si="6"/>
        <v>#N/A</v>
      </c>
      <c r="BF30" s="8"/>
    </row>
    <row r="31" spans="1:58" outlineLevel="1">
      <c r="A31" s="14" t="s">
        <v>425</v>
      </c>
      <c r="B31" s="8" t="s">
        <v>429</v>
      </c>
      <c r="C31" s="8" t="str">
        <f t="shared" si="10"/>
        <v>Indonesiakh.br.as.idn.03</v>
      </c>
      <c r="D31" s="8" t="s">
        <v>478</v>
      </c>
      <c r="E31" s="186" t="s">
        <v>479</v>
      </c>
      <c r="F31" s="2">
        <v>20891.286292600496</v>
      </c>
      <c r="G31" s="19">
        <v>46651</v>
      </c>
      <c r="H31" s="19">
        <v>46766</v>
      </c>
      <c r="I31" s="19"/>
      <c r="J31" s="88">
        <f>VLOOKUP(C31,'Wave wise Effort'!$C$10:$N$80,9,0)</f>
        <v>84</v>
      </c>
      <c r="K31" s="88">
        <f>VLOOKUP(C31,'Wave wise Effort'!$C$10:$N$80,10,0)</f>
        <v>239.06666666666666</v>
      </c>
      <c r="L31" s="88">
        <f>VLOOKUP(C31,'Wave wise Effort'!$C$10:$N$80,11,0)</f>
        <v>298.53333333333336</v>
      </c>
      <c r="M31" s="88">
        <f>VLOOKUP(C31,'Wave wise Effort'!$C$10:$N$80,12,0)</f>
        <v>214.8</v>
      </c>
      <c r="N31" s="88"/>
      <c r="O31" s="19" t="str">
        <f t="shared" si="7"/>
        <v>Sep'27</v>
      </c>
      <c r="P31" s="19" t="str">
        <f t="shared" si="8"/>
        <v>Jan'28</v>
      </c>
      <c r="Q31" s="19"/>
      <c r="R31" s="248"/>
      <c r="T31" s="8" t="s">
        <v>533</v>
      </c>
      <c r="U31" s="18">
        <f t="shared" si="1"/>
        <v>689.33333333333326</v>
      </c>
      <c r="V31" s="18">
        <f t="shared" si="2"/>
        <v>671.73333333333335</v>
      </c>
      <c r="W31" s="18">
        <f t="shared" si="3"/>
        <v>173.73333333333335</v>
      </c>
      <c r="X31" s="18">
        <f t="shared" si="4"/>
        <v>0</v>
      </c>
      <c r="Y31" s="24"/>
      <c r="Z31" s="24"/>
      <c r="AA31" s="24"/>
      <c r="AB31" s="24"/>
      <c r="AC31" s="24"/>
      <c r="AD31" s="24"/>
      <c r="AE31" s="24"/>
      <c r="AF31" s="30" t="s">
        <v>218</v>
      </c>
      <c r="AG31" s="31" t="s">
        <v>143</v>
      </c>
      <c r="AH31" s="31" t="s">
        <v>144</v>
      </c>
      <c r="AI31" s="69">
        <v>45728</v>
      </c>
      <c r="AJ31" s="70" t="s">
        <v>267</v>
      </c>
      <c r="AK31" s="69" t="str">
        <f t="shared" si="5"/>
        <v>Mar'25</v>
      </c>
      <c r="AL31" s="25" t="e">
        <f t="shared" si="6"/>
        <v>#N/A</v>
      </c>
      <c r="BF31" s="8"/>
    </row>
    <row r="32" spans="1:58" outlineLevel="1">
      <c r="A32" s="14" t="s">
        <v>425</v>
      </c>
      <c r="B32" s="8" t="s">
        <v>429</v>
      </c>
      <c r="C32" s="8" t="str">
        <f t="shared" si="10"/>
        <v>Indonesiakh.br.as.idn.02</v>
      </c>
      <c r="D32" s="8" t="s">
        <v>480</v>
      </c>
      <c r="E32" s="186" t="s">
        <v>481</v>
      </c>
      <c r="F32" s="2">
        <v>17053.204117982968</v>
      </c>
      <c r="G32" s="19">
        <v>46659</v>
      </c>
      <c r="H32" s="19">
        <v>46780</v>
      </c>
      <c r="I32" s="19"/>
      <c r="J32" s="88">
        <f>VLOOKUP(C32,'Wave wise Effort'!$C$10:$N$80,9,0)</f>
        <v>88.8</v>
      </c>
      <c r="K32" s="88">
        <f>VLOOKUP(C32,'Wave wise Effort'!$C$10:$N$80,10,0)</f>
        <v>252.93333333333334</v>
      </c>
      <c r="L32" s="88">
        <f>VLOOKUP(C32,'Wave wise Effort'!$C$10:$N$80,11,0)</f>
        <v>315.73333333333335</v>
      </c>
      <c r="M32" s="88">
        <f>VLOOKUP(C32,'Wave wise Effort'!$C$10:$N$80,12,0)</f>
        <v>227.2</v>
      </c>
      <c r="N32" s="88"/>
      <c r="O32" s="19" t="str">
        <f t="shared" si="7"/>
        <v>Sep'27</v>
      </c>
      <c r="P32" s="19" t="str">
        <f t="shared" si="8"/>
        <v>Jan'28</v>
      </c>
      <c r="Q32" s="19"/>
      <c r="R32" s="248"/>
      <c r="T32" s="8" t="s">
        <v>534</v>
      </c>
      <c r="U32" s="18">
        <f t="shared" si="1"/>
        <v>724.93333333333339</v>
      </c>
      <c r="V32" s="18">
        <f t="shared" si="2"/>
        <v>710.8</v>
      </c>
      <c r="W32" s="18">
        <f t="shared" si="3"/>
        <v>182.4</v>
      </c>
      <c r="X32" s="18">
        <f t="shared" si="4"/>
        <v>0</v>
      </c>
      <c r="Y32" s="24"/>
      <c r="Z32" s="24"/>
      <c r="AA32" s="24"/>
      <c r="AB32" s="24"/>
      <c r="AC32" s="24"/>
      <c r="AD32" s="24"/>
      <c r="AE32" s="24"/>
      <c r="AF32" s="30" t="s">
        <v>218</v>
      </c>
      <c r="AG32" s="31" t="s">
        <v>139</v>
      </c>
      <c r="AH32" s="31" t="s">
        <v>140</v>
      </c>
      <c r="AI32" s="69">
        <v>45720</v>
      </c>
      <c r="AJ32" s="70" t="s">
        <v>267</v>
      </c>
      <c r="AK32" s="69" t="str">
        <f t="shared" si="5"/>
        <v>Mar'25</v>
      </c>
      <c r="AL32" s="25" t="e">
        <f t="shared" si="6"/>
        <v>#N/A</v>
      </c>
      <c r="BF32" s="8"/>
    </row>
    <row r="33" spans="1:58" outlineLevel="1">
      <c r="A33" s="14" t="s">
        <v>425</v>
      </c>
      <c r="B33" s="8" t="s">
        <v>430</v>
      </c>
      <c r="C33" s="8" t="str">
        <f t="shared" si="10"/>
        <v>Indonesiakh.br.as.idn.07</v>
      </c>
      <c r="D33" s="8" t="s">
        <v>482</v>
      </c>
      <c r="E33" s="186" t="s">
        <v>483</v>
      </c>
      <c r="F33" s="2">
        <v>24285.383934523154</v>
      </c>
      <c r="G33" s="19">
        <v>46663</v>
      </c>
      <c r="H33" s="19">
        <v>46794</v>
      </c>
      <c r="I33" s="19"/>
      <c r="J33" s="88">
        <f>VLOOKUP(C33,'Wave wise Effort'!$C$10:$N$80,9,0)</f>
        <v>48.533333333333331</v>
      </c>
      <c r="K33" s="88">
        <f>VLOOKUP(C33,'Wave wise Effort'!$C$10:$N$80,10,0)</f>
        <v>138.13333333333333</v>
      </c>
      <c r="L33" s="88">
        <f>VLOOKUP(C33,'Wave wise Effort'!$C$10:$N$80,11,0)</f>
        <v>172.4</v>
      </c>
      <c r="M33" s="88">
        <f>VLOOKUP(C33,'Wave wise Effort'!$C$10:$N$80,12,0)</f>
        <v>124.13333333333334</v>
      </c>
      <c r="N33" s="88"/>
      <c r="O33" s="19" t="str">
        <f t="shared" si="7"/>
        <v>Oct'27</v>
      </c>
      <c r="P33" s="19" t="str">
        <f t="shared" si="8"/>
        <v>Feb'28</v>
      </c>
      <c r="Q33" s="19"/>
      <c r="R33" s="248"/>
      <c r="T33" s="8" t="s">
        <v>535</v>
      </c>
      <c r="U33" s="18">
        <f t="shared" si="1"/>
        <v>217.2</v>
      </c>
      <c r="V33" s="18">
        <f t="shared" si="2"/>
        <v>717.73333333333323</v>
      </c>
      <c r="W33" s="18">
        <f t="shared" si="3"/>
        <v>54.666666666666671</v>
      </c>
      <c r="X33" s="18">
        <f t="shared" si="4"/>
        <v>0</v>
      </c>
      <c r="Y33" s="24"/>
      <c r="Z33" s="24"/>
      <c r="AA33" s="24"/>
      <c r="AB33" s="24"/>
      <c r="AC33" s="24"/>
      <c r="AD33" s="24"/>
      <c r="AE33" s="24"/>
      <c r="AF33" s="30" t="s">
        <v>218</v>
      </c>
      <c r="AG33" s="31" t="s">
        <v>145</v>
      </c>
      <c r="AH33" s="31" t="s">
        <v>146</v>
      </c>
      <c r="AI33" s="69">
        <v>45727</v>
      </c>
      <c r="AJ33" s="70" t="s">
        <v>267</v>
      </c>
      <c r="AK33" s="69" t="str">
        <f t="shared" si="5"/>
        <v>Mar'25</v>
      </c>
      <c r="AL33" s="25" t="e">
        <f t="shared" si="6"/>
        <v>#N/A</v>
      </c>
      <c r="BF33" s="8"/>
    </row>
    <row r="34" spans="1:58" outlineLevel="1">
      <c r="A34" s="14" t="s">
        <v>425</v>
      </c>
      <c r="B34" s="8" t="s">
        <v>430</v>
      </c>
      <c r="C34" s="8" t="str">
        <f t="shared" si="10"/>
        <v>Indonesiakh.br.as.idn.06</v>
      </c>
      <c r="D34" s="8" t="s">
        <v>484</v>
      </c>
      <c r="E34" s="186" t="s">
        <v>485</v>
      </c>
      <c r="F34" s="2">
        <v>19072.712519488658</v>
      </c>
      <c r="G34" s="19">
        <v>46666</v>
      </c>
      <c r="H34" s="19">
        <v>46805</v>
      </c>
      <c r="I34" s="19"/>
      <c r="J34" s="88">
        <f>VLOOKUP(C34,'Wave wise Effort'!$C$10:$N$80,9,0)</f>
        <v>51.2</v>
      </c>
      <c r="K34" s="88">
        <f>VLOOKUP(C34,'Wave wise Effort'!$C$10:$N$80,10,0)</f>
        <v>146</v>
      </c>
      <c r="L34" s="88">
        <f>VLOOKUP(C34,'Wave wise Effort'!$C$10:$N$80,11,0)</f>
        <v>182.26666666666668</v>
      </c>
      <c r="M34" s="88">
        <f>VLOOKUP(C34,'Wave wise Effort'!$C$10:$N$80,12,0)</f>
        <v>131.06666666666666</v>
      </c>
      <c r="N34" s="88"/>
      <c r="O34" s="19" t="str">
        <f t="shared" si="7"/>
        <v>Oct'27</v>
      </c>
      <c r="P34" s="19" t="str">
        <f t="shared" si="8"/>
        <v>Feb'28</v>
      </c>
      <c r="Q34" s="19"/>
      <c r="R34" s="248"/>
      <c r="T34" s="8" t="s">
        <v>536</v>
      </c>
      <c r="U34" s="18">
        <f t="shared" si="1"/>
        <v>0</v>
      </c>
      <c r="V34" s="18">
        <f t="shared" si="2"/>
        <v>1607.7333333333336</v>
      </c>
      <c r="W34" s="18">
        <f t="shared" si="3"/>
        <v>0</v>
      </c>
      <c r="X34" s="18">
        <f t="shared" si="4"/>
        <v>0</v>
      </c>
      <c r="Y34" s="24"/>
      <c r="Z34" s="24"/>
      <c r="AA34" s="24"/>
      <c r="AB34" s="24"/>
      <c r="AC34" s="24"/>
      <c r="AD34" s="24"/>
      <c r="AE34" s="24"/>
      <c r="AF34" s="30" t="s">
        <v>218</v>
      </c>
      <c r="AG34" s="31" t="s">
        <v>147</v>
      </c>
      <c r="AH34" s="31" t="s">
        <v>148</v>
      </c>
      <c r="AI34" s="69">
        <v>45749</v>
      </c>
      <c r="AJ34" s="70" t="s">
        <v>267</v>
      </c>
      <c r="AK34" s="69" t="str">
        <f t="shared" si="5"/>
        <v>Apr'25</v>
      </c>
      <c r="AL34" s="25" t="e">
        <f t="shared" ref="AL34:AL51" si="11">VLOOKUP(AG34,$D$2:$J$27,7,0)</f>
        <v>#N/A</v>
      </c>
      <c r="BF34" s="8"/>
    </row>
    <row r="35" spans="1:58" outlineLevel="1">
      <c r="A35" s="14" t="s">
        <v>425</v>
      </c>
      <c r="B35" s="8" t="s">
        <v>431</v>
      </c>
      <c r="C35" s="8" t="str">
        <f t="shared" si="10"/>
        <v>Indonesiakh.br.as.idn.09</v>
      </c>
      <c r="D35" s="8" t="s">
        <v>486</v>
      </c>
      <c r="E35" s="186" t="s">
        <v>487</v>
      </c>
      <c r="F35" s="2">
        <v>3670.6587433609475</v>
      </c>
      <c r="G35" s="19">
        <v>46674</v>
      </c>
      <c r="H35" s="19">
        <v>46815</v>
      </c>
      <c r="I35" s="19"/>
      <c r="J35" s="88">
        <f>VLOOKUP(C35,'Wave wise Effort'!$C$10:$N$80,9,0)</f>
        <v>63.333333333333336</v>
      </c>
      <c r="K35" s="88">
        <f>VLOOKUP(C35,'Wave wise Effort'!$C$10:$N$80,10,0)</f>
        <v>180.53333333333333</v>
      </c>
      <c r="L35" s="88">
        <f>VLOOKUP(C35,'Wave wise Effort'!$C$10:$N$80,11,0)</f>
        <v>225.33333333333334</v>
      </c>
      <c r="M35" s="88">
        <f>VLOOKUP(C35,'Wave wise Effort'!$C$10:$N$80,12,0)</f>
        <v>162.26666666666668</v>
      </c>
      <c r="N35" s="88"/>
      <c r="O35" s="19" t="str">
        <f t="shared" si="7"/>
        <v>Oct'27</v>
      </c>
      <c r="P35" s="19" t="str">
        <f t="shared" si="8"/>
        <v>Mar'28</v>
      </c>
      <c r="Q35" s="19"/>
      <c r="R35" s="248"/>
      <c r="T35" s="8" t="s">
        <v>537</v>
      </c>
      <c r="U35" s="18">
        <f t="shared" si="1"/>
        <v>0</v>
      </c>
      <c r="V35" s="18">
        <f t="shared" si="2"/>
        <v>1385.6</v>
      </c>
      <c r="W35" s="18">
        <f t="shared" si="3"/>
        <v>0</v>
      </c>
      <c r="X35" s="18">
        <f t="shared" si="4"/>
        <v>0</v>
      </c>
      <c r="Y35" s="24"/>
      <c r="Z35" s="24"/>
      <c r="AA35" s="24"/>
      <c r="AB35" s="24"/>
      <c r="AC35" s="24"/>
      <c r="AD35" s="24"/>
      <c r="AE35" s="24"/>
      <c r="AF35" s="30" t="s">
        <v>218</v>
      </c>
      <c r="AG35" s="31" t="s">
        <v>159</v>
      </c>
      <c r="AH35" s="31" t="s">
        <v>160</v>
      </c>
      <c r="AI35" s="69">
        <v>45645</v>
      </c>
      <c r="AJ35" s="70" t="s">
        <v>267</v>
      </c>
      <c r="AK35" s="69" t="str">
        <f t="shared" si="5"/>
        <v>Dec'24</v>
      </c>
      <c r="AL35" s="25" t="e">
        <f t="shared" si="11"/>
        <v>#N/A</v>
      </c>
      <c r="BF35" s="8"/>
    </row>
    <row r="36" spans="1:58">
      <c r="A36" s="14" t="s">
        <v>425</v>
      </c>
      <c r="B36" s="8" t="s">
        <v>431</v>
      </c>
      <c r="C36" s="8" t="str">
        <f t="shared" si="10"/>
        <v>Indonesiakh.br.as.idn.08</v>
      </c>
      <c r="D36" s="8" t="s">
        <v>488</v>
      </c>
      <c r="E36" s="186" t="s">
        <v>489</v>
      </c>
      <c r="F36" s="2">
        <v>7393.3955246458518</v>
      </c>
      <c r="G36" s="19">
        <v>46684</v>
      </c>
      <c r="H36" s="19">
        <v>46835</v>
      </c>
      <c r="I36" s="19"/>
      <c r="J36" s="88">
        <f>VLOOKUP(C36,'Wave wise Effort'!$C$10:$N$80,9,0)</f>
        <v>71.466666666666669</v>
      </c>
      <c r="K36" s="88">
        <f>VLOOKUP(C36,'Wave wise Effort'!$C$10:$N$80,10,0)</f>
        <v>203.46666666666667</v>
      </c>
      <c r="L36" s="88">
        <f>VLOOKUP(C36,'Wave wise Effort'!$C$10:$N$80,11,0)</f>
        <v>253.86666666666667</v>
      </c>
      <c r="M36" s="88">
        <f>VLOOKUP(C36,'Wave wise Effort'!$C$10:$N$80,12,0)</f>
        <v>183.06666666666666</v>
      </c>
      <c r="N36" s="88"/>
      <c r="O36" s="19" t="str">
        <f t="shared" si="7"/>
        <v>Oct'27</v>
      </c>
      <c r="P36" s="19" t="str">
        <f t="shared" si="8"/>
        <v>Mar'28</v>
      </c>
      <c r="Q36" s="19"/>
      <c r="R36" s="248"/>
      <c r="T36" s="8" t="s">
        <v>538</v>
      </c>
      <c r="U36" s="18">
        <f t="shared" si="1"/>
        <v>0</v>
      </c>
      <c r="V36" s="18">
        <f t="shared" si="2"/>
        <v>529.06666666666661</v>
      </c>
      <c r="W36" s="18">
        <f t="shared" si="3"/>
        <v>0</v>
      </c>
      <c r="X36" s="18">
        <f t="shared" si="4"/>
        <v>0</v>
      </c>
      <c r="AC36" s="24"/>
      <c r="AD36" s="24"/>
      <c r="AE36" s="24"/>
      <c r="AF36" s="30" t="s">
        <v>218</v>
      </c>
      <c r="AG36" s="31" t="s">
        <v>119</v>
      </c>
      <c r="AH36" s="31" t="s">
        <v>120</v>
      </c>
      <c r="AI36" s="20">
        <v>45723</v>
      </c>
      <c r="AJ36" s="67" t="s">
        <v>255</v>
      </c>
      <c r="AK36" s="66" t="str">
        <f t="shared" si="5"/>
        <v>Mar'25</v>
      </c>
      <c r="AL36" s="25" t="e">
        <f t="shared" si="11"/>
        <v>#N/A</v>
      </c>
      <c r="BF36" s="8"/>
    </row>
    <row r="37" spans="1:58">
      <c r="A37" s="14" t="s">
        <v>425</v>
      </c>
      <c r="B37" s="8" t="s">
        <v>431</v>
      </c>
      <c r="C37" s="8" t="str">
        <f t="shared" si="10"/>
        <v>Indonesiakh.br.as.idn.10_A</v>
      </c>
      <c r="D37" s="8" t="s">
        <v>490</v>
      </c>
      <c r="E37" s="186" t="s">
        <v>491</v>
      </c>
      <c r="F37" s="2">
        <v>11005.770078639263</v>
      </c>
      <c r="G37" s="19">
        <v>46703</v>
      </c>
      <c r="H37" s="19">
        <v>46851</v>
      </c>
      <c r="I37" s="19"/>
      <c r="J37" s="88">
        <f>VLOOKUP(C37,'Wave wise Effort'!$C$10:$N$80,9,0)</f>
        <v>103.6</v>
      </c>
      <c r="K37" s="88">
        <f>VLOOKUP(C37,'Wave wise Effort'!$C$10:$N$80,10,0)</f>
        <v>294.93333333333334</v>
      </c>
      <c r="L37" s="88">
        <f>VLOOKUP(C37,'Wave wise Effort'!$C$10:$N$80,11,0)</f>
        <v>368</v>
      </c>
      <c r="M37" s="88">
        <f>VLOOKUP(C37,'Wave wise Effort'!$C$10:$N$80,12,0)</f>
        <v>265.06666666666666</v>
      </c>
      <c r="N37" s="88"/>
      <c r="O37" s="19" t="str">
        <f t="shared" si="7"/>
        <v>Nov'27</v>
      </c>
      <c r="P37" s="19" t="str">
        <f t="shared" si="8"/>
        <v>Apr'28</v>
      </c>
      <c r="Q37" s="19"/>
      <c r="R37" s="248"/>
      <c r="T37" s="8" t="s">
        <v>539</v>
      </c>
      <c r="U37" s="1">
        <f t="shared" si="1"/>
        <v>0</v>
      </c>
      <c r="V37" s="1">
        <f t="shared" si="2"/>
        <v>0</v>
      </c>
      <c r="W37" s="1">
        <f t="shared" si="3"/>
        <v>0</v>
      </c>
      <c r="X37" s="1">
        <f t="shared" si="4"/>
        <v>0</v>
      </c>
      <c r="AC37" s="24"/>
      <c r="AD37" s="24"/>
      <c r="AE37" s="24"/>
      <c r="AF37" s="30" t="s">
        <v>218</v>
      </c>
      <c r="AG37" s="31" t="s">
        <v>115</v>
      </c>
      <c r="AH37" s="31" t="s">
        <v>116</v>
      </c>
      <c r="AI37" s="20">
        <v>45743</v>
      </c>
      <c r="AJ37" s="67" t="s">
        <v>255</v>
      </c>
      <c r="AK37" s="66" t="str">
        <f t="shared" si="5"/>
        <v>Mar'25</v>
      </c>
      <c r="AL37" s="25" t="e">
        <f t="shared" si="11"/>
        <v>#N/A</v>
      </c>
      <c r="BF37" s="8"/>
    </row>
    <row r="38" spans="1:58">
      <c r="A38" s="14" t="s">
        <v>425</v>
      </c>
      <c r="B38" s="8" t="s">
        <v>431</v>
      </c>
      <c r="C38" s="8" t="str">
        <f t="shared" si="10"/>
        <v>Indonesiakh.br.as.idn.12_C</v>
      </c>
      <c r="D38" s="8" t="s">
        <v>492</v>
      </c>
      <c r="E38" s="186" t="s">
        <v>493</v>
      </c>
      <c r="F38" s="2">
        <v>13706.378875368548</v>
      </c>
      <c r="G38" s="19">
        <v>46720</v>
      </c>
      <c r="H38" s="19">
        <v>46867</v>
      </c>
      <c r="I38" s="19"/>
      <c r="J38" s="88">
        <f>VLOOKUP(C38,'Wave wise Effort'!$C$10:$N$80,9,0)</f>
        <v>84.266666666666666</v>
      </c>
      <c r="K38" s="88">
        <f>VLOOKUP(C38,'Wave wise Effort'!$C$10:$N$80,10,0)</f>
        <v>239.86666666666667</v>
      </c>
      <c r="L38" s="88">
        <f>VLOOKUP(C38,'Wave wise Effort'!$C$10:$N$80,11,0)</f>
        <v>299.33333333333331</v>
      </c>
      <c r="M38" s="88">
        <f>VLOOKUP(C38,'Wave wise Effort'!$C$10:$N$80,12,0)</f>
        <v>215.46666666666667</v>
      </c>
      <c r="N38" s="88"/>
      <c r="O38" s="19" t="str">
        <f t="shared" si="7"/>
        <v>Nov'27</v>
      </c>
      <c r="P38" s="19" t="str">
        <f t="shared" si="8"/>
        <v>Apr'28</v>
      </c>
      <c r="Q38" s="19"/>
      <c r="R38" s="248"/>
      <c r="T38" s="8" t="s">
        <v>560</v>
      </c>
      <c r="U38" s="1">
        <f t="shared" si="1"/>
        <v>0</v>
      </c>
      <c r="V38" s="1">
        <f t="shared" si="2"/>
        <v>0</v>
      </c>
      <c r="W38" s="1">
        <f t="shared" si="3"/>
        <v>0</v>
      </c>
      <c r="X38" s="1">
        <f t="shared" si="4"/>
        <v>0</v>
      </c>
      <c r="AC38" s="24"/>
      <c r="AD38" s="24"/>
      <c r="AE38" s="24"/>
      <c r="AF38" s="30" t="s">
        <v>218</v>
      </c>
      <c r="AG38" s="31" t="s">
        <v>117</v>
      </c>
      <c r="AH38" s="31" t="s">
        <v>118</v>
      </c>
      <c r="AI38" s="89">
        <v>45790</v>
      </c>
      <c r="AJ38" s="31" t="s">
        <v>266</v>
      </c>
      <c r="AK38" s="68" t="str">
        <f t="shared" si="5"/>
        <v>May'25</v>
      </c>
      <c r="AL38" s="25" t="e">
        <f t="shared" si="11"/>
        <v>#N/A</v>
      </c>
      <c r="BF38" s="8"/>
    </row>
    <row r="39" spans="1:58">
      <c r="A39" s="14" t="s">
        <v>425</v>
      </c>
      <c r="B39" s="8" t="s">
        <v>431</v>
      </c>
      <c r="C39" s="8" t="str">
        <f t="shared" si="10"/>
        <v>Indonesiakh.br.as.idn.11_C</v>
      </c>
      <c r="D39" s="8" t="s">
        <v>494</v>
      </c>
      <c r="E39" s="186" t="s">
        <v>495</v>
      </c>
      <c r="F39" s="2">
        <v>13092.84165088862</v>
      </c>
      <c r="G39" s="19">
        <v>46738</v>
      </c>
      <c r="H39" s="19">
        <v>46880</v>
      </c>
      <c r="I39" s="19"/>
      <c r="J39" s="88">
        <f>VLOOKUP(C39,'Wave wise Effort'!$C$10:$N$80,9,0)</f>
        <v>64.400000000000006</v>
      </c>
      <c r="K39" s="88">
        <f>VLOOKUP(C39,'Wave wise Effort'!$C$10:$N$80,10,0)</f>
        <v>183.33333333333334</v>
      </c>
      <c r="L39" s="88">
        <f>VLOOKUP(C39,'Wave wise Effort'!$C$10:$N$80,11,0)</f>
        <v>228.66666666666666</v>
      </c>
      <c r="M39" s="88">
        <f>VLOOKUP(C39,'Wave wise Effort'!$C$10:$N$80,12,0)</f>
        <v>164.53333333333333</v>
      </c>
      <c r="N39" s="88"/>
      <c r="O39" s="19" t="str">
        <f t="shared" si="7"/>
        <v>Dec'27</v>
      </c>
      <c r="P39" s="19" t="str">
        <f t="shared" si="8"/>
        <v>May'28</v>
      </c>
      <c r="Q39" s="19"/>
      <c r="R39" s="248"/>
      <c r="T39" s="8" t="s">
        <v>561</v>
      </c>
      <c r="U39" s="1">
        <f t="shared" si="1"/>
        <v>0</v>
      </c>
      <c r="V39" s="1">
        <f t="shared" si="2"/>
        <v>0</v>
      </c>
      <c r="W39" s="1">
        <f t="shared" si="3"/>
        <v>0</v>
      </c>
      <c r="X39" s="1">
        <f t="shared" si="4"/>
        <v>0</v>
      </c>
      <c r="AC39" s="24"/>
      <c r="AD39" s="24"/>
      <c r="AE39" s="24"/>
      <c r="AF39" s="30" t="s">
        <v>218</v>
      </c>
      <c r="AG39" s="31" t="s">
        <v>121</v>
      </c>
      <c r="AH39" s="31" t="s">
        <v>122</v>
      </c>
      <c r="AI39" s="89">
        <v>45819</v>
      </c>
      <c r="AJ39" s="31" t="s">
        <v>266</v>
      </c>
      <c r="AK39" s="68" t="str">
        <f t="shared" si="5"/>
        <v>Jun'25</v>
      </c>
      <c r="AL39" s="25" t="e">
        <f t="shared" si="11"/>
        <v>#N/A</v>
      </c>
      <c r="BF39" s="8"/>
    </row>
    <row r="40" spans="1:58">
      <c r="A40" s="14" t="s">
        <v>425</v>
      </c>
      <c r="B40" s="8" t="s">
        <v>431</v>
      </c>
      <c r="C40" s="8" t="str">
        <f t="shared" si="10"/>
        <v>Indonesiakh.br.as.idn.12_B</v>
      </c>
      <c r="D40" s="8" t="s">
        <v>496</v>
      </c>
      <c r="E40" s="186" t="s">
        <v>497</v>
      </c>
      <c r="F40" s="2">
        <v>11238.812838418964</v>
      </c>
      <c r="G40" s="19">
        <v>46759</v>
      </c>
      <c r="H40" s="19">
        <v>46891</v>
      </c>
      <c r="I40" s="19"/>
      <c r="J40" s="88">
        <f>VLOOKUP(C40,'Wave wise Effort'!$C$10:$N$80,9,0)</f>
        <v>83.333333333333329</v>
      </c>
      <c r="K40" s="88">
        <f>VLOOKUP(C40,'Wave wise Effort'!$C$10:$N$80,10,0)</f>
        <v>237.46666666666667</v>
      </c>
      <c r="L40" s="88">
        <f>VLOOKUP(C40,'Wave wise Effort'!$C$10:$N$80,11,0)</f>
        <v>296.26666666666665</v>
      </c>
      <c r="M40" s="88">
        <f>VLOOKUP(C40,'Wave wise Effort'!$C$10:$N$80,12,0)</f>
        <v>213.46666666666667</v>
      </c>
      <c r="N40" s="88"/>
      <c r="O40" s="19" t="str">
        <f t="shared" si="7"/>
        <v>Jan'28</v>
      </c>
      <c r="P40" s="19" t="str">
        <f t="shared" si="8"/>
        <v>May'28</v>
      </c>
      <c r="Q40" s="19"/>
      <c r="R40" s="248"/>
      <c r="T40" s="8" t="s">
        <v>562</v>
      </c>
      <c r="U40" s="1">
        <f t="shared" si="1"/>
        <v>0</v>
      </c>
      <c r="V40" s="1">
        <f t="shared" si="2"/>
        <v>0</v>
      </c>
      <c r="W40" s="1">
        <f t="shared" si="3"/>
        <v>0</v>
      </c>
      <c r="X40" s="1">
        <f t="shared" si="4"/>
        <v>0</v>
      </c>
      <c r="AC40" s="24"/>
      <c r="AD40" s="24"/>
      <c r="AE40" s="24"/>
      <c r="AF40" s="30" t="s">
        <v>218</v>
      </c>
      <c r="AG40" s="31" t="s">
        <v>151</v>
      </c>
      <c r="AH40" s="31" t="s">
        <v>152</v>
      </c>
      <c r="AI40" s="69">
        <v>45720</v>
      </c>
      <c r="AJ40" s="70" t="s">
        <v>267</v>
      </c>
      <c r="AK40" s="69" t="str">
        <f t="shared" si="5"/>
        <v>Mar'25</v>
      </c>
      <c r="AL40" s="25" t="e">
        <f t="shared" si="11"/>
        <v>#N/A</v>
      </c>
      <c r="BF40" s="8"/>
    </row>
    <row r="41" spans="1:58">
      <c r="A41" s="14" t="s">
        <v>425</v>
      </c>
      <c r="B41" s="8" t="s">
        <v>431</v>
      </c>
      <c r="C41" s="8" t="str">
        <f t="shared" si="10"/>
        <v>Indonesiakh.br.as.idn.11_B</v>
      </c>
      <c r="D41" s="8" t="s">
        <v>498</v>
      </c>
      <c r="E41" s="186" t="s">
        <v>499</v>
      </c>
      <c r="F41" s="2">
        <v>9545.1869537562015</v>
      </c>
      <c r="G41" s="19">
        <v>46775</v>
      </c>
      <c r="H41" s="19">
        <v>46901</v>
      </c>
      <c r="I41" s="19"/>
      <c r="J41" s="88">
        <f>VLOOKUP(C41,'Wave wise Effort'!$C$10:$N$80,9,0)</f>
        <v>67.86666666666666</v>
      </c>
      <c r="K41" s="88">
        <f>VLOOKUP(C41,'Wave wise Effort'!$C$10:$N$80,10,0)</f>
        <v>193.2</v>
      </c>
      <c r="L41" s="88">
        <f>VLOOKUP(C41,'Wave wise Effort'!$C$10:$N$80,11,0)</f>
        <v>241.33333333333334</v>
      </c>
      <c r="M41" s="88">
        <f>VLOOKUP(C41,'Wave wise Effort'!$C$10:$N$80,12,0)</f>
        <v>173.6</v>
      </c>
      <c r="N41" s="88"/>
      <c r="O41" s="19" t="str">
        <f t="shared" si="7"/>
        <v>Jan'28</v>
      </c>
      <c r="P41" s="19" t="str">
        <f t="shared" si="8"/>
        <v>May'28</v>
      </c>
      <c r="Q41" s="19"/>
      <c r="R41" s="248"/>
      <c r="T41" s="8" t="s">
        <v>563</v>
      </c>
      <c r="U41" s="1">
        <f t="shared" si="1"/>
        <v>0</v>
      </c>
      <c r="V41" s="1">
        <f t="shared" si="2"/>
        <v>0</v>
      </c>
      <c r="W41" s="1">
        <f t="shared" si="3"/>
        <v>0</v>
      </c>
      <c r="X41" s="1">
        <f t="shared" si="4"/>
        <v>0</v>
      </c>
      <c r="AC41" s="24"/>
      <c r="AD41" s="24"/>
      <c r="AE41" s="24"/>
      <c r="AF41" s="30" t="s">
        <v>218</v>
      </c>
      <c r="AG41" s="31" t="s">
        <v>135</v>
      </c>
      <c r="AH41" s="31" t="s">
        <v>136</v>
      </c>
      <c r="AI41" s="112">
        <v>45819</v>
      </c>
      <c r="AJ41" s="67" t="s">
        <v>266</v>
      </c>
      <c r="AK41" s="66" t="str">
        <f t="shared" si="5"/>
        <v>Jun'25</v>
      </c>
      <c r="AL41" s="25" t="e">
        <f t="shared" si="11"/>
        <v>#N/A</v>
      </c>
      <c r="BF41" s="8"/>
    </row>
    <row r="42" spans="1:58">
      <c r="A42" s="14" t="s">
        <v>425</v>
      </c>
      <c r="B42" s="8" t="s">
        <v>431</v>
      </c>
      <c r="C42" s="8" t="str">
        <f t="shared" si="10"/>
        <v>Indonesiakh.br.as.idn.12_A</v>
      </c>
      <c r="D42" s="8" t="s">
        <v>500</v>
      </c>
      <c r="E42" s="186" t="s">
        <v>501</v>
      </c>
      <c r="F42" s="2">
        <v>11006.765964301208</v>
      </c>
      <c r="G42" s="19">
        <v>46791</v>
      </c>
      <c r="H42" s="19">
        <v>46914</v>
      </c>
      <c r="I42" s="19"/>
      <c r="J42" s="88">
        <f>VLOOKUP(C42,'Wave wise Effort'!$C$10:$N$80,9,0)</f>
        <v>76.400000000000006</v>
      </c>
      <c r="K42" s="88">
        <f>VLOOKUP(C42,'Wave wise Effort'!$C$10:$N$80,10,0)</f>
        <v>217.6</v>
      </c>
      <c r="L42" s="88">
        <f>VLOOKUP(C42,'Wave wise Effort'!$C$10:$N$80,11,0)</f>
        <v>271.73333333333335</v>
      </c>
      <c r="M42" s="88">
        <f>VLOOKUP(C42,'Wave wise Effort'!$C$10:$N$80,12,0)</f>
        <v>195.46666666666667</v>
      </c>
      <c r="N42" s="88"/>
      <c r="O42" s="19" t="str">
        <f t="shared" si="7"/>
        <v>Feb'28</v>
      </c>
      <c r="P42" s="19" t="str">
        <f t="shared" si="8"/>
        <v>Jun'28</v>
      </c>
      <c r="Q42" s="19"/>
      <c r="R42" s="248"/>
      <c r="T42" s="8" t="s">
        <v>564</v>
      </c>
      <c r="U42" s="1">
        <f t="shared" si="1"/>
        <v>0</v>
      </c>
      <c r="V42" s="1">
        <f t="shared" si="2"/>
        <v>0</v>
      </c>
      <c r="W42" s="1">
        <f t="shared" si="3"/>
        <v>0</v>
      </c>
      <c r="X42" s="1">
        <f t="shared" si="4"/>
        <v>0</v>
      </c>
      <c r="AC42" s="24"/>
      <c r="AD42" s="24"/>
      <c r="AE42" s="24"/>
      <c r="AF42" s="30" t="s">
        <v>218</v>
      </c>
      <c r="AG42" s="31" t="s">
        <v>149</v>
      </c>
      <c r="AH42" s="31" t="s">
        <v>150</v>
      </c>
      <c r="AI42" s="69">
        <v>45770</v>
      </c>
      <c r="AJ42" s="70" t="s">
        <v>267</v>
      </c>
      <c r="AK42" s="69" t="str">
        <f t="shared" si="5"/>
        <v>Apr'25</v>
      </c>
      <c r="AL42" s="25" t="e">
        <f t="shared" si="11"/>
        <v>#N/A</v>
      </c>
      <c r="BF42" s="8"/>
    </row>
    <row r="43" spans="1:58">
      <c r="A43" s="14" t="s">
        <v>425</v>
      </c>
      <c r="B43" s="8" t="s">
        <v>431</v>
      </c>
      <c r="C43" s="8" t="str">
        <f t="shared" si="10"/>
        <v>Indonesiakh.br.as.idn.10_C</v>
      </c>
      <c r="D43" s="8" t="s">
        <v>502</v>
      </c>
      <c r="E43" s="186" t="s">
        <v>503</v>
      </c>
      <c r="F43" s="2">
        <v>9856.5905408473736</v>
      </c>
      <c r="G43" s="19">
        <v>46805</v>
      </c>
      <c r="H43" s="19">
        <v>46924</v>
      </c>
      <c r="I43" s="19"/>
      <c r="J43" s="88">
        <f>VLOOKUP(C43,'Wave wise Effort'!$C$10:$N$80,9,0)</f>
        <v>83.6</v>
      </c>
      <c r="K43" s="88">
        <f>VLOOKUP(C43,'Wave wise Effort'!$C$10:$N$80,10,0)</f>
        <v>238.13333333333333</v>
      </c>
      <c r="L43" s="88">
        <f>VLOOKUP(C43,'Wave wise Effort'!$C$10:$N$80,11,0)</f>
        <v>297.2</v>
      </c>
      <c r="M43" s="88">
        <f>VLOOKUP(C43,'Wave wise Effort'!$C$10:$N$80,12,0)</f>
        <v>213.86666666666667</v>
      </c>
      <c r="N43" s="88"/>
      <c r="O43" s="19" t="str">
        <f t="shared" si="7"/>
        <v>Feb'28</v>
      </c>
      <c r="P43" s="19" t="str">
        <f t="shared" si="8"/>
        <v>Jun'28</v>
      </c>
      <c r="Q43" s="19"/>
      <c r="R43" s="248"/>
      <c r="T43" s="33" t="s">
        <v>209</v>
      </c>
      <c r="U43" s="34">
        <f>SUM(U2:U42)</f>
        <v>16289.733333333337</v>
      </c>
      <c r="V43" s="34">
        <f>SUM(V2:V42)</f>
        <v>33801.199999999997</v>
      </c>
      <c r="W43" s="34">
        <f>SUM(W2:W42)</f>
        <v>2102.4</v>
      </c>
      <c r="X43" s="34">
        <f>SUM(X2:X37)</f>
        <v>0</v>
      </c>
      <c r="AC43" s="24"/>
      <c r="AD43" s="24"/>
      <c r="AE43" s="24"/>
      <c r="AF43" s="30" t="s">
        <v>218</v>
      </c>
      <c r="AG43" s="31" t="s">
        <v>161</v>
      </c>
      <c r="AH43" s="31" t="s">
        <v>162</v>
      </c>
      <c r="AI43" s="112">
        <v>45819</v>
      </c>
      <c r="AJ43" s="67" t="s">
        <v>266</v>
      </c>
      <c r="AK43" s="66" t="str">
        <f t="shared" si="5"/>
        <v>Jun'25</v>
      </c>
      <c r="AL43" s="25" t="e">
        <f t="shared" si="11"/>
        <v>#N/A</v>
      </c>
      <c r="BF43" s="8"/>
    </row>
    <row r="44" spans="1:58">
      <c r="A44" s="14" t="s">
        <v>425</v>
      </c>
      <c r="B44" s="8" t="s">
        <v>431</v>
      </c>
      <c r="C44" s="8" t="str">
        <f t="shared" si="10"/>
        <v>Indonesiakh.br.as.idn.10_B</v>
      </c>
      <c r="D44" s="8" t="s">
        <v>504</v>
      </c>
      <c r="E44" s="186" t="s">
        <v>505</v>
      </c>
      <c r="F44" s="2">
        <v>9493.5621405982183</v>
      </c>
      <c r="G44" s="19">
        <v>46820</v>
      </c>
      <c r="H44" s="19">
        <v>46934</v>
      </c>
      <c r="I44" s="19"/>
      <c r="J44" s="88">
        <f>VLOOKUP(C44,'Wave wise Effort'!$C$10:$N$80,9,0)</f>
        <v>102.53333333333333</v>
      </c>
      <c r="K44" s="88">
        <f>VLOOKUP(C44,'Wave wise Effort'!$C$10:$N$80,10,0)</f>
        <v>292</v>
      </c>
      <c r="L44" s="88">
        <f>VLOOKUP(C44,'Wave wise Effort'!$C$10:$N$80,11,0)</f>
        <v>364.4</v>
      </c>
      <c r="M44" s="88">
        <f>VLOOKUP(C44,'Wave wise Effort'!$C$10:$N$80,12,0)</f>
        <v>262.39999999999998</v>
      </c>
      <c r="N44" s="88"/>
      <c r="O44" s="19" t="str">
        <f t="shared" si="7"/>
        <v>Mar'28</v>
      </c>
      <c r="P44" s="19" t="str">
        <f t="shared" si="8"/>
        <v>Jun'28</v>
      </c>
      <c r="Q44" s="19"/>
      <c r="R44" s="248"/>
      <c r="AC44" s="24"/>
      <c r="AD44" s="24"/>
      <c r="AE44" s="24"/>
      <c r="AF44" s="30" t="s">
        <v>218</v>
      </c>
      <c r="AG44" s="31" t="s">
        <v>155</v>
      </c>
      <c r="AH44" s="31" t="s">
        <v>156</v>
      </c>
      <c r="AI44" s="69">
        <v>45825</v>
      </c>
      <c r="AJ44" s="70" t="s">
        <v>267</v>
      </c>
      <c r="AK44" s="69" t="str">
        <f t="shared" si="5"/>
        <v>Jun'25</v>
      </c>
      <c r="AL44" s="25" t="e">
        <f t="shared" si="11"/>
        <v>#N/A</v>
      </c>
      <c r="BF44" s="8"/>
    </row>
    <row r="45" spans="1:58">
      <c r="A45" s="14" t="s">
        <v>425</v>
      </c>
      <c r="B45" s="8" t="s">
        <v>431</v>
      </c>
      <c r="C45" s="8" t="str">
        <f t="shared" si="10"/>
        <v>Indonesiakh.br.as.idn.11_A</v>
      </c>
      <c r="D45" s="8" t="s">
        <v>506</v>
      </c>
      <c r="E45" s="186" t="s">
        <v>507</v>
      </c>
      <c r="F45" s="2">
        <v>8464.8366231018554</v>
      </c>
      <c r="G45" s="19">
        <v>46835</v>
      </c>
      <c r="H45" s="19">
        <v>46943</v>
      </c>
      <c r="I45" s="19"/>
      <c r="J45" s="88">
        <f>VLOOKUP(C45,'Wave wise Effort'!$C$10:$N$80,9,0)</f>
        <v>86.933333333333337</v>
      </c>
      <c r="K45" s="88">
        <f>VLOOKUP(C45,'Wave wise Effort'!$C$10:$N$80,10,0)</f>
        <v>247.73333333333332</v>
      </c>
      <c r="L45" s="88">
        <f>VLOOKUP(C45,'Wave wise Effort'!$C$10:$N$80,11,0)</f>
        <v>309.06666666666666</v>
      </c>
      <c r="M45" s="88">
        <f>VLOOKUP(C45,'Wave wise Effort'!$C$10:$N$80,12,0)</f>
        <v>222.53333333333333</v>
      </c>
      <c r="N45" s="88"/>
      <c r="O45" s="19" t="str">
        <f t="shared" si="7"/>
        <v>Mar'28</v>
      </c>
      <c r="P45" s="19" t="str">
        <f t="shared" si="8"/>
        <v>Jul'28</v>
      </c>
      <c r="Q45" s="19"/>
      <c r="R45" s="248"/>
      <c r="U45" s="1" t="b">
        <f>SUM(U52:U87)=U43</f>
        <v>1</v>
      </c>
      <c r="V45" s="1" t="b">
        <f>SUM(V52:V87)=V43</f>
        <v>1</v>
      </c>
      <c r="W45" s="1" t="b">
        <f>SUM(W52:W87)=W43</f>
        <v>1</v>
      </c>
      <c r="AC45" s="24"/>
      <c r="AD45" s="24"/>
      <c r="AE45" s="24"/>
      <c r="AF45" s="30" t="s">
        <v>218</v>
      </c>
      <c r="AG45" s="31" t="s">
        <v>157</v>
      </c>
      <c r="AH45" s="31" t="s">
        <v>158</v>
      </c>
      <c r="AI45" s="69">
        <v>45825</v>
      </c>
      <c r="AJ45" s="70" t="s">
        <v>267</v>
      </c>
      <c r="AK45" s="69" t="str">
        <f t="shared" si="5"/>
        <v>Jun'25</v>
      </c>
      <c r="AL45" s="25" t="e">
        <f t="shared" si="11"/>
        <v>#N/A</v>
      </c>
      <c r="BF45" s="8"/>
    </row>
    <row r="46" spans="1:58">
      <c r="A46" s="14" t="s">
        <v>425</v>
      </c>
      <c r="B46" s="8" t="s">
        <v>432</v>
      </c>
      <c r="C46" s="8" t="str">
        <f t="shared" si="10"/>
        <v>Indonesiakh.br.as.idn.14</v>
      </c>
      <c r="D46" s="8" t="s">
        <v>508</v>
      </c>
      <c r="E46" s="186" t="s">
        <v>509</v>
      </c>
      <c r="F46" s="2">
        <v>19403.964641840728</v>
      </c>
      <c r="G46" s="19">
        <v>46850</v>
      </c>
      <c r="H46" s="19">
        <v>46955</v>
      </c>
      <c r="I46" s="19"/>
      <c r="J46" s="88">
        <f>VLOOKUP(C46,'Wave wise Effort'!$C$10:$N$80,9,0)</f>
        <v>78.666666666666671</v>
      </c>
      <c r="K46" s="88">
        <f>VLOOKUP(C46,'Wave wise Effort'!$C$10:$N$80,10,0)</f>
        <v>224.13333333333333</v>
      </c>
      <c r="L46" s="88">
        <f>VLOOKUP(C46,'Wave wise Effort'!$C$10:$N$80,11,0)</f>
        <v>279.60000000000002</v>
      </c>
      <c r="M46" s="88">
        <f>VLOOKUP(C46,'Wave wise Effort'!$C$10:$N$80,12,0)</f>
        <v>201.33333333333334</v>
      </c>
      <c r="N46" s="88"/>
      <c r="O46" s="19" t="str">
        <f t="shared" si="7"/>
        <v>Apr'28</v>
      </c>
      <c r="P46" s="19" t="str">
        <f t="shared" si="8"/>
        <v>Jul'28</v>
      </c>
      <c r="Q46" s="19"/>
      <c r="R46" s="248"/>
      <c r="AC46" s="24"/>
      <c r="AD46" s="24"/>
      <c r="AE46" s="24"/>
      <c r="AF46" s="30" t="s">
        <v>218</v>
      </c>
      <c r="AG46" s="31" t="s">
        <v>153</v>
      </c>
      <c r="AH46" s="31" t="s">
        <v>154</v>
      </c>
      <c r="AI46" s="113">
        <v>45791</v>
      </c>
      <c r="AJ46" s="70" t="s">
        <v>266</v>
      </c>
      <c r="AK46" s="69" t="str">
        <f t="shared" si="5"/>
        <v>May'25</v>
      </c>
      <c r="AL46" s="25" t="e">
        <f t="shared" si="11"/>
        <v>#N/A</v>
      </c>
      <c r="BF46" s="8"/>
    </row>
    <row r="47" spans="1:58">
      <c r="A47" s="14" t="s">
        <v>425</v>
      </c>
      <c r="B47" s="8" t="s">
        <v>432</v>
      </c>
      <c r="C47" s="8" t="str">
        <f t="shared" si="10"/>
        <v>Indonesiakh.br.as.idn.13</v>
      </c>
      <c r="D47" s="8" t="s">
        <v>510</v>
      </c>
      <c r="E47" s="186" t="s">
        <v>511</v>
      </c>
      <c r="F47" s="2">
        <v>9176.7570323873497</v>
      </c>
      <c r="G47" s="19">
        <v>46854</v>
      </c>
      <c r="H47" s="19">
        <v>46958</v>
      </c>
      <c r="I47" s="19"/>
      <c r="J47" s="88">
        <f>VLOOKUP(C47,'Wave wise Effort'!$C$10:$N$80,9,0)</f>
        <v>40.666666666666664</v>
      </c>
      <c r="K47" s="88">
        <f>VLOOKUP(C47,'Wave wise Effort'!$C$10:$N$80,10,0)</f>
        <v>115.86666666666666</v>
      </c>
      <c r="L47" s="88">
        <f>VLOOKUP(C47,'Wave wise Effort'!$C$10:$N$80,11,0)</f>
        <v>144.53333333333333</v>
      </c>
      <c r="M47" s="88">
        <f>VLOOKUP(C47,'Wave wise Effort'!$C$10:$N$80,12,0)</f>
        <v>104.13333333333334</v>
      </c>
      <c r="N47" s="88"/>
      <c r="O47" s="19" t="str">
        <f t="shared" si="7"/>
        <v>Apr'28</v>
      </c>
      <c r="P47" s="19" t="str">
        <f t="shared" si="8"/>
        <v>Jul'28</v>
      </c>
      <c r="Q47" s="19"/>
      <c r="R47" s="248"/>
      <c r="AC47" s="24"/>
      <c r="AD47" s="24"/>
      <c r="AE47" s="24"/>
      <c r="AF47" s="30" t="s">
        <v>218</v>
      </c>
      <c r="AG47" s="31" t="s">
        <v>137</v>
      </c>
      <c r="AH47" s="31" t="s">
        <v>138</v>
      </c>
      <c r="AI47" s="89">
        <v>45819</v>
      </c>
      <c r="AJ47" s="31" t="s">
        <v>266</v>
      </c>
      <c r="AK47" s="68" t="str">
        <f t="shared" si="5"/>
        <v>Jun'25</v>
      </c>
      <c r="AL47" s="25" t="e">
        <f t="shared" si="11"/>
        <v>#N/A</v>
      </c>
      <c r="BF47" s="8"/>
    </row>
    <row r="48" spans="1:58">
      <c r="A48" s="14" t="s">
        <v>425</v>
      </c>
      <c r="B48" s="8" t="s">
        <v>433</v>
      </c>
      <c r="C48" s="8" t="str">
        <f t="shared" ref="C48:C49" si="12">A48&amp;D48</f>
        <v>Indonesiakh.br.as.idn.16</v>
      </c>
      <c r="D48" s="8" t="s">
        <v>512</v>
      </c>
      <c r="E48" s="186" t="s">
        <v>513</v>
      </c>
      <c r="F48" s="2">
        <v>10516.761780644523</v>
      </c>
      <c r="G48" s="19">
        <v>46860</v>
      </c>
      <c r="H48" s="19">
        <v>46963</v>
      </c>
      <c r="I48" s="19"/>
      <c r="J48" s="88">
        <f>VLOOKUP(C48,'Wave wise Effort'!$C$10:$N$80,9,0)</f>
        <v>32</v>
      </c>
      <c r="K48" s="88">
        <f>VLOOKUP(C48,'Wave wise Effort'!$C$10:$N$80,10,0)</f>
        <v>91.066666666666663</v>
      </c>
      <c r="L48" s="88">
        <f>VLOOKUP(C48,'Wave wise Effort'!$C$10:$N$80,11,0)</f>
        <v>113.6</v>
      </c>
      <c r="M48" s="88">
        <f>VLOOKUP(C48,'Wave wise Effort'!$C$10:$N$80,12,0)</f>
        <v>82</v>
      </c>
      <c r="N48" s="88"/>
      <c r="O48" s="19" t="str">
        <f t="shared" si="7"/>
        <v>Apr'28</v>
      </c>
      <c r="P48" s="19" t="str">
        <f t="shared" si="8"/>
        <v>Jul'28</v>
      </c>
      <c r="Q48" s="19"/>
      <c r="R48" s="248"/>
      <c r="AC48" s="24"/>
      <c r="AD48" s="24"/>
      <c r="AE48" s="24"/>
      <c r="AF48" s="30" t="s">
        <v>218</v>
      </c>
      <c r="AG48" s="31" t="s">
        <v>123</v>
      </c>
      <c r="AH48" s="31" t="s">
        <v>124</v>
      </c>
      <c r="AI48" s="66">
        <v>45645</v>
      </c>
      <c r="AJ48" s="67" t="s">
        <v>255</v>
      </c>
      <c r="AK48" s="66" t="str">
        <f t="shared" si="5"/>
        <v>Dec'24</v>
      </c>
      <c r="AL48" s="25" t="e">
        <f t="shared" si="11"/>
        <v>#N/A</v>
      </c>
      <c r="BF48" s="8"/>
    </row>
    <row r="49" spans="1:58">
      <c r="A49" s="14" t="s">
        <v>425</v>
      </c>
      <c r="B49" s="8" t="s">
        <v>433</v>
      </c>
      <c r="C49" s="8" t="str">
        <f t="shared" si="12"/>
        <v>Indonesiakh.br.as.idn.15</v>
      </c>
      <c r="D49" s="8" t="s">
        <v>514</v>
      </c>
      <c r="E49" s="186" t="s">
        <v>515</v>
      </c>
      <c r="F49" s="2">
        <v>9142.3822596506761</v>
      </c>
      <c r="G49" s="19">
        <v>46870</v>
      </c>
      <c r="H49" s="19">
        <v>46969</v>
      </c>
      <c r="I49" s="19"/>
      <c r="J49" s="88">
        <f>VLOOKUP(C49,'Wave wise Effort'!$C$10:$N$80,9,0)</f>
        <v>57.866666666666667</v>
      </c>
      <c r="K49" s="88">
        <f>VLOOKUP(C49,'Wave wise Effort'!$C$10:$N$80,10,0)</f>
        <v>164.8</v>
      </c>
      <c r="L49" s="88">
        <f>VLOOKUP(C49,'Wave wise Effort'!$C$10:$N$80,11,0)</f>
        <v>205.6</v>
      </c>
      <c r="M49" s="88">
        <f>VLOOKUP(C49,'Wave wise Effort'!$C$10:$N$80,12,0)</f>
        <v>147.86666666666667</v>
      </c>
      <c r="N49" s="88"/>
      <c r="O49" s="19" t="str">
        <f t="shared" si="7"/>
        <v>Apr'28</v>
      </c>
      <c r="P49" s="19" t="str">
        <f t="shared" si="8"/>
        <v>Aug'28</v>
      </c>
      <c r="Q49" s="19"/>
      <c r="R49" s="248"/>
      <c r="AC49" s="24"/>
      <c r="AD49" s="24"/>
      <c r="AE49" s="24"/>
      <c r="AF49" s="30" t="s">
        <v>218</v>
      </c>
      <c r="AG49" s="31" t="s">
        <v>127</v>
      </c>
      <c r="AH49" s="31" t="s">
        <v>128</v>
      </c>
      <c r="AI49" s="66">
        <v>45717</v>
      </c>
      <c r="AJ49" s="67" t="s">
        <v>255</v>
      </c>
      <c r="AK49" s="66" t="str">
        <f t="shared" si="5"/>
        <v>Mar'25</v>
      </c>
      <c r="AL49" s="25" t="e">
        <f t="shared" si="11"/>
        <v>#N/A</v>
      </c>
      <c r="BF49" s="8"/>
    </row>
    <row r="50" spans="1:58">
      <c r="A50" s="14" t="s">
        <v>425</v>
      </c>
      <c r="B50" s="8" t="s">
        <v>434</v>
      </c>
      <c r="C50" s="8" t="str">
        <f t="shared" ref="C50:C71" si="13">A50&amp;D50</f>
        <v>Indonesiakh.br.as.idn.18</v>
      </c>
      <c r="D50" s="8" t="s">
        <v>516</v>
      </c>
      <c r="E50" s="186" t="s">
        <v>517</v>
      </c>
      <c r="F50" s="2">
        <v>3589.0920028084884</v>
      </c>
      <c r="G50" s="19">
        <v>46871</v>
      </c>
      <c r="H50" s="19">
        <v>46970</v>
      </c>
      <c r="I50" s="19"/>
      <c r="J50" s="88">
        <f>VLOOKUP(C50,'Wave wise Effort'!$C$10:$N$80,9,0)</f>
        <v>7.7333333333333334</v>
      </c>
      <c r="K50" s="88">
        <f>VLOOKUP(C50,'Wave wise Effort'!$C$10:$N$80,10,0)</f>
        <v>21.866666666666667</v>
      </c>
      <c r="L50" s="88">
        <f>VLOOKUP(C50,'Wave wise Effort'!$C$10:$N$80,11,0)</f>
        <v>27.333333333333332</v>
      </c>
      <c r="M50" s="88">
        <f>VLOOKUP(C50,'Wave wise Effort'!$C$10:$N$80,12,0)</f>
        <v>20</v>
      </c>
      <c r="N50" s="88"/>
      <c r="O50" s="19" t="str">
        <f t="shared" si="7"/>
        <v>Apr'28</v>
      </c>
      <c r="P50" s="19" t="str">
        <f t="shared" si="8"/>
        <v>Aug'28</v>
      </c>
      <c r="Q50" s="19"/>
      <c r="R50" s="248"/>
      <c r="AC50" s="24"/>
      <c r="AD50" s="24"/>
      <c r="AE50" s="24"/>
      <c r="AF50" s="30" t="s">
        <v>218</v>
      </c>
      <c r="AG50" s="31" t="s">
        <v>129</v>
      </c>
      <c r="AH50" s="31" t="s">
        <v>130</v>
      </c>
      <c r="AI50" s="89">
        <v>45819</v>
      </c>
      <c r="AJ50" s="31" t="s">
        <v>266</v>
      </c>
      <c r="AK50" s="68" t="str">
        <f t="shared" si="5"/>
        <v>Jun'25</v>
      </c>
      <c r="AL50" s="25" t="e">
        <f t="shared" si="11"/>
        <v>#N/A</v>
      </c>
      <c r="AM50" s="24"/>
      <c r="AN50" s="24"/>
      <c r="AO50" s="24"/>
      <c r="AP50" s="24"/>
      <c r="BF50" s="8"/>
    </row>
    <row r="51" spans="1:58">
      <c r="A51" s="14" t="s">
        <v>425</v>
      </c>
      <c r="B51" s="8" t="s">
        <v>434</v>
      </c>
      <c r="C51" s="8" t="str">
        <f t="shared" si="13"/>
        <v>Indonesiakh.br.as.idn.17</v>
      </c>
      <c r="D51" s="8" t="s">
        <v>518</v>
      </c>
      <c r="E51" s="186" t="s">
        <v>519</v>
      </c>
      <c r="F51" s="2">
        <v>4499.7501828057566</v>
      </c>
      <c r="G51" s="19">
        <v>46872</v>
      </c>
      <c r="H51" s="19">
        <v>46971</v>
      </c>
      <c r="I51" s="19"/>
      <c r="J51" s="88">
        <f>VLOOKUP(C51,'Wave wise Effort'!$C$10:$N$80,9,0)</f>
        <v>11.066666666666666</v>
      </c>
      <c r="K51" s="88">
        <f>VLOOKUP(C51,'Wave wise Effort'!$C$10:$N$80,10,0)</f>
        <v>31.6</v>
      </c>
      <c r="L51" s="88">
        <f>VLOOKUP(C51,'Wave wise Effort'!$C$10:$N$80,11,0)</f>
        <v>39.333333333333336</v>
      </c>
      <c r="M51" s="88">
        <f>VLOOKUP(C51,'Wave wise Effort'!$C$10:$N$80,12,0)</f>
        <v>28.266666666666666</v>
      </c>
      <c r="N51" s="88"/>
      <c r="O51" s="19" t="str">
        <f t="shared" si="7"/>
        <v>Apr'28</v>
      </c>
      <c r="P51" s="19" t="str">
        <f t="shared" si="8"/>
        <v>Aug'28</v>
      </c>
      <c r="Q51" s="19"/>
      <c r="R51" s="248"/>
      <c r="Y51" s="24"/>
      <c r="AC51" s="24"/>
      <c r="AD51" s="24"/>
      <c r="AE51" s="24"/>
      <c r="AF51" s="30" t="s">
        <v>218</v>
      </c>
      <c r="AG51" s="31" t="s">
        <v>125</v>
      </c>
      <c r="AH51" s="31" t="s">
        <v>126</v>
      </c>
      <c r="AI51" s="89">
        <v>45819</v>
      </c>
      <c r="AJ51" s="31" t="s">
        <v>266</v>
      </c>
      <c r="AK51" s="68" t="str">
        <f t="shared" si="5"/>
        <v>Jun'25</v>
      </c>
      <c r="AL51" s="25" t="e">
        <f t="shared" si="11"/>
        <v>#N/A</v>
      </c>
      <c r="BF51" s="8"/>
    </row>
    <row r="52" spans="1:58">
      <c r="A52" s="14" t="s">
        <v>425</v>
      </c>
      <c r="B52" s="8" t="s">
        <v>435</v>
      </c>
      <c r="C52" s="8" t="str">
        <f t="shared" si="13"/>
        <v>Indonesiakh.br.as.idn.20</v>
      </c>
      <c r="D52" s="8" t="s">
        <v>520</v>
      </c>
      <c r="E52" s="186" t="s">
        <v>521</v>
      </c>
      <c r="F52" s="2">
        <v>6725.8424711891348</v>
      </c>
      <c r="G52" s="19">
        <v>46874</v>
      </c>
      <c r="H52" s="19">
        <v>46973</v>
      </c>
      <c r="I52" s="19"/>
      <c r="J52" s="88">
        <f>VLOOKUP(C52,'Wave wise Effort'!$C$10:$N$80,9,0)</f>
        <v>17.466666666666665</v>
      </c>
      <c r="K52" s="88">
        <f>VLOOKUP(C52,'Wave wise Effort'!$C$10:$N$80,10,0)</f>
        <v>49.866666666666667</v>
      </c>
      <c r="L52" s="88">
        <f>VLOOKUP(C52,'Wave wise Effort'!$C$10:$N$80,11,0)</f>
        <v>62.266666666666666</v>
      </c>
      <c r="M52" s="88">
        <f>VLOOKUP(C52,'Wave wise Effort'!$C$10:$N$80,12,0)</f>
        <v>44.666666666666664</v>
      </c>
      <c r="N52" s="88"/>
      <c r="O52" s="19" t="str">
        <f t="shared" si="7"/>
        <v>May'28</v>
      </c>
      <c r="P52" s="19" t="str">
        <f t="shared" si="8"/>
        <v>Aug'28</v>
      </c>
      <c r="Q52" s="19"/>
      <c r="R52" s="248"/>
      <c r="Y52" s="24"/>
      <c r="AC52" s="24"/>
      <c r="AD52" s="24"/>
      <c r="AE52" s="24"/>
      <c r="BF52" s="8"/>
    </row>
    <row r="53" spans="1:58" ht="57" thickBot="1">
      <c r="A53" s="10" t="s">
        <v>425</v>
      </c>
      <c r="B53" s="11" t="s">
        <v>435</v>
      </c>
      <c r="C53" s="11" t="str">
        <f t="shared" si="13"/>
        <v>Indonesiakh.br.as.idn.19</v>
      </c>
      <c r="D53" s="11" t="s">
        <v>522</v>
      </c>
      <c r="E53" s="161" t="s">
        <v>523</v>
      </c>
      <c r="F53" s="117">
        <v>6988.9587267377956</v>
      </c>
      <c r="G53" s="145">
        <v>46876</v>
      </c>
      <c r="H53" s="145">
        <v>46975</v>
      </c>
      <c r="I53" s="271"/>
      <c r="J53" s="272">
        <f>VLOOKUP(C53,'Wave wise Effort'!$C$10:$N$80,9,0)</f>
        <v>15.2</v>
      </c>
      <c r="K53" s="272">
        <f>VLOOKUP(C53,'Wave wise Effort'!$C$10:$N$80,10,0)</f>
        <v>43.2</v>
      </c>
      <c r="L53" s="272">
        <f>VLOOKUP(C53,'Wave wise Effort'!$C$10:$N$80,11,0)</f>
        <v>53.866666666666667</v>
      </c>
      <c r="M53" s="272">
        <f>VLOOKUP(C53,'Wave wise Effort'!$C$10:$N$80,12,0)</f>
        <v>38.799999999999997</v>
      </c>
      <c r="N53" s="272"/>
      <c r="O53" s="271" t="str">
        <f t="shared" si="7"/>
        <v>May'28</v>
      </c>
      <c r="P53" s="271" t="str">
        <f t="shared" si="8"/>
        <v>Aug'28</v>
      </c>
      <c r="Q53" s="271"/>
      <c r="R53" s="249"/>
      <c r="T53" s="53" t="s">
        <v>210</v>
      </c>
      <c r="U53" s="53" t="s">
        <v>293</v>
      </c>
      <c r="V53" s="53" t="s">
        <v>294</v>
      </c>
      <c r="W53" s="53" t="s">
        <v>251</v>
      </c>
      <c r="X53" s="29" t="s">
        <v>378</v>
      </c>
      <c r="Y53" s="24"/>
      <c r="Z53" s="47" t="s">
        <v>200</v>
      </c>
      <c r="AA53" s="47" t="s">
        <v>291</v>
      </c>
      <c r="AB53" s="53" t="s">
        <v>292</v>
      </c>
      <c r="AC53" s="24"/>
      <c r="AD53" s="24"/>
      <c r="AE53" s="24"/>
      <c r="BF53" s="8"/>
    </row>
    <row r="54" spans="1:58">
      <c r="A54" s="122" t="s">
        <v>424</v>
      </c>
      <c r="B54" s="123" t="s">
        <v>426</v>
      </c>
      <c r="C54" s="123" t="str">
        <f t="shared" si="13"/>
        <v>Philippineskh.br.as.phl.08</v>
      </c>
      <c r="D54" s="123" t="s">
        <v>436</v>
      </c>
      <c r="E54" s="175" t="s">
        <v>437</v>
      </c>
      <c r="F54" s="207">
        <v>8940.6125597396785</v>
      </c>
      <c r="G54" s="19">
        <v>46838</v>
      </c>
      <c r="H54" s="19">
        <v>46947</v>
      </c>
      <c r="I54" s="269"/>
      <c r="J54" s="270">
        <f>VLOOKUP(C54,'Wave wise Effort'!$C$10:$N$80,9,0)</f>
        <v>12.533333333333333</v>
      </c>
      <c r="K54" s="270">
        <f>VLOOKUP(C54,'Wave wise Effort'!$C$10:$N$80,10,0)</f>
        <v>23.866666666666667</v>
      </c>
      <c r="L54" s="270">
        <f>VLOOKUP(C54,'Wave wise Effort'!$C$10:$N$80,11,0)</f>
        <v>25.866666666666667</v>
      </c>
      <c r="M54" s="270">
        <f>VLOOKUP(C54,'Wave wise Effort'!$C$10:$N$80,12,0)</f>
        <v>100.8</v>
      </c>
      <c r="N54" s="270"/>
      <c r="O54" s="269" t="str">
        <f t="shared" si="7"/>
        <v>Mar'28</v>
      </c>
      <c r="P54" s="269" t="str">
        <f t="shared" si="8"/>
        <v>Jul'28</v>
      </c>
      <c r="Q54" s="269"/>
      <c r="R54" s="247"/>
      <c r="T54" s="1" t="str">
        <f t="shared" ref="T54:T86" si="14">T10</f>
        <v>Sep'26</v>
      </c>
      <c r="U54" s="1">
        <f>SUM(U2:U10)</f>
        <v>1802.6666666666667</v>
      </c>
      <c r="V54" s="1">
        <f>SUM(V2:V10)</f>
        <v>7244.4000000000005</v>
      </c>
      <c r="W54" s="1">
        <f>SUM(W2:W10)</f>
        <v>0</v>
      </c>
      <c r="X54" s="1">
        <f t="shared" ref="U54:X72" si="15">X10</f>
        <v>0</v>
      </c>
      <c r="Y54" s="24"/>
      <c r="Z54" s="1" t="str">
        <f t="shared" ref="Z54:Z87" si="16">T54</f>
        <v>Sep'26</v>
      </c>
      <c r="AA54" s="18">
        <f t="shared" ref="AA54:AA87" si="17">SUMIF(O:O,Z54,F:F)</f>
        <v>22372</v>
      </c>
      <c r="AB54" s="18">
        <f t="shared" ref="AB54:AB87" si="18">SUMIF(P:P,Z54,F:F)</f>
        <v>49169</v>
      </c>
      <c r="BC54" s="8"/>
    </row>
    <row r="55" spans="1:58">
      <c r="A55" s="14" t="s">
        <v>424</v>
      </c>
      <c r="B55" s="8" t="s">
        <v>426</v>
      </c>
      <c r="C55" s="8" t="str">
        <f t="shared" si="13"/>
        <v>Philippineskh.br.as.phl.09</v>
      </c>
      <c r="D55" s="8" t="s">
        <v>438</v>
      </c>
      <c r="E55" s="186" t="s">
        <v>439</v>
      </c>
      <c r="F55" s="2">
        <v>7945.446835908112</v>
      </c>
      <c r="G55" s="19">
        <v>46880</v>
      </c>
      <c r="H55" s="19">
        <v>46979</v>
      </c>
      <c r="I55" s="19"/>
      <c r="J55" s="88">
        <f>VLOOKUP(C55,'Wave wise Effort'!$C$10:$N$80,9,0)</f>
        <v>18.266666666666666</v>
      </c>
      <c r="K55" s="88">
        <f>VLOOKUP(C55,'Wave wise Effort'!$C$10:$N$80,10,0)</f>
        <v>34.93333333333333</v>
      </c>
      <c r="L55" s="88">
        <f>VLOOKUP(C55,'Wave wise Effort'!$C$10:$N$80,11,0)</f>
        <v>37.6</v>
      </c>
      <c r="M55" s="88">
        <f>VLOOKUP(C55,'Wave wise Effort'!$C$10:$N$80,12,0)</f>
        <v>147.6</v>
      </c>
      <c r="N55" s="88"/>
      <c r="O55" s="19" t="str">
        <f t="shared" si="7"/>
        <v>May'28</v>
      </c>
      <c r="P55" s="19" t="str">
        <f t="shared" si="8"/>
        <v>Aug'28</v>
      </c>
      <c r="Q55" s="19"/>
      <c r="R55" s="248"/>
      <c r="T55" s="1" t="str">
        <f t="shared" si="14"/>
        <v>Oct'26</v>
      </c>
      <c r="U55" s="1">
        <f t="shared" si="15"/>
        <v>1271.0666666666666</v>
      </c>
      <c r="V55" s="1">
        <f t="shared" si="15"/>
        <v>3627.7333333333336</v>
      </c>
      <c r="W55" s="1">
        <f t="shared" si="15"/>
        <v>0</v>
      </c>
      <c r="X55" s="1">
        <f t="shared" si="15"/>
        <v>0</v>
      </c>
      <c r="Y55" s="24"/>
      <c r="Z55" s="1" t="str">
        <f t="shared" si="16"/>
        <v>Oct'26</v>
      </c>
      <c r="AA55" s="18">
        <f t="shared" si="17"/>
        <v>28875</v>
      </c>
      <c r="AB55" s="18">
        <f t="shared" si="18"/>
        <v>80886</v>
      </c>
      <c r="BA55" s="8"/>
    </row>
    <row r="56" spans="1:58">
      <c r="A56" s="14" t="s">
        <v>424</v>
      </c>
      <c r="B56" s="8" t="s">
        <v>426</v>
      </c>
      <c r="C56" s="8" t="str">
        <f t="shared" si="13"/>
        <v>Philippineskh.br.as.phl.18</v>
      </c>
      <c r="D56" s="8" t="s">
        <v>440</v>
      </c>
      <c r="E56" s="186" t="s">
        <v>441</v>
      </c>
      <c r="F56" s="2">
        <v>9294.4172239585623</v>
      </c>
      <c r="G56" s="19">
        <v>46885</v>
      </c>
      <c r="H56" s="19">
        <v>46985</v>
      </c>
      <c r="I56" s="19"/>
      <c r="J56" s="88">
        <f>VLOOKUP(C56,'Wave wise Effort'!$C$10:$N$80,9,0)</f>
        <v>18.399999999999999</v>
      </c>
      <c r="K56" s="88">
        <f>VLOOKUP(C56,'Wave wise Effort'!$C$10:$N$80,10,0)</f>
        <v>35.200000000000003</v>
      </c>
      <c r="L56" s="88">
        <f>VLOOKUP(C56,'Wave wise Effort'!$C$10:$N$80,11,0)</f>
        <v>38</v>
      </c>
      <c r="M56" s="88">
        <f>VLOOKUP(C56,'Wave wise Effort'!$C$10:$N$80,12,0)</f>
        <v>148.66666666666666</v>
      </c>
      <c r="N56" s="88"/>
      <c r="O56" s="19" t="str">
        <f t="shared" si="7"/>
        <v>May'28</v>
      </c>
      <c r="P56" s="19" t="str">
        <f t="shared" si="8"/>
        <v>Aug'28</v>
      </c>
      <c r="Q56" s="19"/>
      <c r="R56" s="248"/>
      <c r="T56" s="1" t="str">
        <f t="shared" si="14"/>
        <v>Nov'26</v>
      </c>
      <c r="U56" s="1">
        <f t="shared" si="15"/>
        <v>978</v>
      </c>
      <c r="V56" s="1">
        <f t="shared" si="15"/>
        <v>3444.6666666666665</v>
      </c>
      <c r="W56" s="1">
        <f t="shared" si="15"/>
        <v>0</v>
      </c>
      <c r="X56" s="1">
        <f t="shared" si="15"/>
        <v>0</v>
      </c>
      <c r="Y56" s="24"/>
      <c r="Z56" s="1" t="str">
        <f t="shared" si="16"/>
        <v>Nov'26</v>
      </c>
      <c r="AA56" s="18">
        <f t="shared" si="17"/>
        <v>16540</v>
      </c>
      <c r="AB56" s="18">
        <f t="shared" si="18"/>
        <v>46050</v>
      </c>
      <c r="AX56" s="8"/>
    </row>
    <row r="57" spans="1:58">
      <c r="A57" s="14" t="s">
        <v>424</v>
      </c>
      <c r="B57" s="8" t="s">
        <v>426</v>
      </c>
      <c r="C57" s="8" t="str">
        <f t="shared" si="13"/>
        <v>Philippineskh.br.as.phl.11</v>
      </c>
      <c r="D57" s="8" t="s">
        <v>442</v>
      </c>
      <c r="E57" s="186" t="s">
        <v>443</v>
      </c>
      <c r="F57" s="2">
        <v>6975.1976371264436</v>
      </c>
      <c r="G57" s="19">
        <v>46888</v>
      </c>
      <c r="H57" s="19">
        <v>46988</v>
      </c>
      <c r="I57" s="19"/>
      <c r="J57" s="88">
        <f>VLOOKUP(C57,'Wave wise Effort'!$C$10:$N$80,9,0)</f>
        <v>17.600000000000001</v>
      </c>
      <c r="K57" s="88">
        <f>VLOOKUP(C57,'Wave wise Effort'!$C$10:$N$80,10,0)</f>
        <v>33.6</v>
      </c>
      <c r="L57" s="88">
        <f>VLOOKUP(C57,'Wave wise Effort'!$C$10:$N$80,11,0)</f>
        <v>36.133333333333333</v>
      </c>
      <c r="M57" s="88">
        <f>VLOOKUP(C57,'Wave wise Effort'!$C$10:$N$80,12,0)</f>
        <v>141.86666666666667</v>
      </c>
      <c r="N57" s="88"/>
      <c r="O57" s="19" t="str">
        <f t="shared" si="7"/>
        <v>May'28</v>
      </c>
      <c r="P57" s="19" t="str">
        <f t="shared" si="8"/>
        <v>Aug'28</v>
      </c>
      <c r="Q57" s="19"/>
      <c r="R57" s="248"/>
      <c r="T57" s="1" t="str">
        <f t="shared" si="14"/>
        <v>Dec'26</v>
      </c>
      <c r="U57" s="1">
        <f t="shared" si="15"/>
        <v>0</v>
      </c>
      <c r="V57" s="1">
        <f t="shared" si="15"/>
        <v>2709.2</v>
      </c>
      <c r="W57" s="1">
        <f t="shared" si="15"/>
        <v>0</v>
      </c>
      <c r="X57" s="1">
        <f t="shared" si="15"/>
        <v>0</v>
      </c>
      <c r="Y57" s="24"/>
      <c r="Z57" s="1" t="str">
        <f t="shared" si="16"/>
        <v>Dec'26</v>
      </c>
      <c r="AA57" s="18">
        <f t="shared" si="17"/>
        <v>0</v>
      </c>
      <c r="AB57" s="18">
        <f t="shared" si="18"/>
        <v>45692</v>
      </c>
      <c r="AX57" s="8"/>
    </row>
    <row r="58" spans="1:58">
      <c r="A58" s="14" t="s">
        <v>424</v>
      </c>
      <c r="B58" s="8" t="s">
        <v>426</v>
      </c>
      <c r="C58" s="8" t="str">
        <f t="shared" si="13"/>
        <v>Philippineskh.br.as.phl.10</v>
      </c>
      <c r="D58" s="8" t="s">
        <v>444</v>
      </c>
      <c r="E58" s="186" t="s">
        <v>445</v>
      </c>
      <c r="F58" s="2">
        <v>8945.6474270757153</v>
      </c>
      <c r="G58" s="19">
        <v>46897</v>
      </c>
      <c r="H58" s="19">
        <v>46999</v>
      </c>
      <c r="I58" s="19"/>
      <c r="J58" s="88">
        <f>VLOOKUP(C58,'Wave wise Effort'!$C$10:$N$80,9,0)</f>
        <v>25.333333333333332</v>
      </c>
      <c r="K58" s="88">
        <f>VLOOKUP(C58,'Wave wise Effort'!$C$10:$N$80,10,0)</f>
        <v>48.4</v>
      </c>
      <c r="L58" s="88">
        <f>VLOOKUP(C58,'Wave wise Effort'!$C$10:$N$80,11,0)</f>
        <v>52.133333333333333</v>
      </c>
      <c r="M58" s="88">
        <f>VLOOKUP(C58,'Wave wise Effort'!$C$10:$N$80,12,0)</f>
        <v>204.4</v>
      </c>
      <c r="N58" s="88"/>
      <c r="O58" s="19" t="str">
        <f t="shared" si="7"/>
        <v>May'28</v>
      </c>
      <c r="P58" s="19" t="str">
        <f t="shared" si="8"/>
        <v>Sep'28</v>
      </c>
      <c r="Q58" s="19"/>
      <c r="R58" s="248"/>
      <c r="T58" s="1" t="str">
        <f t="shared" si="14"/>
        <v>Jan'27</v>
      </c>
      <c r="U58" s="1">
        <f t="shared" si="15"/>
        <v>0</v>
      </c>
      <c r="V58" s="1">
        <f t="shared" si="15"/>
        <v>4431.8666666666668</v>
      </c>
      <c r="W58" s="1">
        <f t="shared" si="15"/>
        <v>0</v>
      </c>
      <c r="X58" s="1">
        <f t="shared" si="15"/>
        <v>0</v>
      </c>
      <c r="Y58" s="24"/>
      <c r="Z58" s="1" t="str">
        <f t="shared" si="16"/>
        <v>Jan'27</v>
      </c>
      <c r="AA58" s="18">
        <f t="shared" si="17"/>
        <v>0</v>
      </c>
      <c r="AB58" s="18">
        <f t="shared" si="18"/>
        <v>62185</v>
      </c>
      <c r="AX58" s="8"/>
    </row>
    <row r="59" spans="1:58">
      <c r="A59" s="14" t="s">
        <v>424</v>
      </c>
      <c r="B59" s="8" t="s">
        <v>427</v>
      </c>
      <c r="C59" s="8" t="str">
        <f t="shared" si="13"/>
        <v>Philippineskh.br.as.phl.06</v>
      </c>
      <c r="D59" s="8" t="s">
        <v>446</v>
      </c>
      <c r="E59" s="186" t="s">
        <v>447</v>
      </c>
      <c r="F59" s="2">
        <v>4315.9356892773894</v>
      </c>
      <c r="G59" s="19">
        <v>46908</v>
      </c>
      <c r="H59" s="19">
        <v>47007</v>
      </c>
      <c r="I59" s="19"/>
      <c r="J59" s="88">
        <f>VLOOKUP(C59,'Wave wise Effort'!$C$10:$N$80,9,0)</f>
        <v>78.266666666666666</v>
      </c>
      <c r="K59" s="88">
        <f>VLOOKUP(C59,'Wave wise Effort'!$C$10:$N$80,10,0)</f>
        <v>149.6</v>
      </c>
      <c r="L59" s="88">
        <f>VLOOKUP(C59,'Wave wise Effort'!$C$10:$N$80,11,0)</f>
        <v>160.80000000000001</v>
      </c>
      <c r="M59" s="88">
        <f>VLOOKUP(C59,'Wave wise Effort'!$C$10:$N$80,12,0)</f>
        <v>631.6</v>
      </c>
      <c r="N59" s="88"/>
      <c r="O59" s="19" t="str">
        <f t="shared" si="7"/>
        <v>Jun'28</v>
      </c>
      <c r="P59" s="19" t="str">
        <f t="shared" si="8"/>
        <v>Sep'28</v>
      </c>
      <c r="Q59" s="19"/>
      <c r="R59" s="248"/>
      <c r="T59" s="1" t="str">
        <f t="shared" si="14"/>
        <v>Feb'27</v>
      </c>
      <c r="U59" s="1">
        <f t="shared" si="15"/>
        <v>0</v>
      </c>
      <c r="V59" s="1">
        <f t="shared" si="15"/>
        <v>4189.2</v>
      </c>
      <c r="W59" s="1">
        <f t="shared" si="15"/>
        <v>0</v>
      </c>
      <c r="X59" s="1">
        <f t="shared" si="15"/>
        <v>0</v>
      </c>
      <c r="Y59" s="24"/>
      <c r="Z59" s="1" t="str">
        <f t="shared" si="16"/>
        <v>Feb'27</v>
      </c>
      <c r="AA59" s="18">
        <f t="shared" si="17"/>
        <v>0</v>
      </c>
      <c r="AB59" s="18">
        <f t="shared" si="18"/>
        <v>70965</v>
      </c>
      <c r="AX59" s="8"/>
    </row>
    <row r="60" spans="1:58">
      <c r="A60" s="14" t="s">
        <v>424</v>
      </c>
      <c r="B60" s="8" t="s">
        <v>427</v>
      </c>
      <c r="C60" s="8" t="str">
        <f t="shared" si="13"/>
        <v>Philippineskh.br.as.phl.07</v>
      </c>
      <c r="D60" s="8" t="s">
        <v>448</v>
      </c>
      <c r="E60" s="186" t="s">
        <v>449</v>
      </c>
      <c r="F60" s="2">
        <v>6904.711854207595</v>
      </c>
      <c r="G60" s="19">
        <v>46913</v>
      </c>
      <c r="H60" s="19">
        <v>47009</v>
      </c>
      <c r="I60" s="19"/>
      <c r="J60" s="88">
        <f>VLOOKUP(C60,'Wave wise Effort'!$C$10:$N$80,9,0)</f>
        <v>23.466666666666665</v>
      </c>
      <c r="K60" s="88">
        <f>VLOOKUP(C60,'Wave wise Effort'!$C$10:$N$80,10,0)</f>
        <v>44.93333333333333</v>
      </c>
      <c r="L60" s="88">
        <f>VLOOKUP(C60,'Wave wise Effort'!$C$10:$N$80,11,0)</f>
        <v>48.266666666666666</v>
      </c>
      <c r="M60" s="88">
        <f>VLOOKUP(C60,'Wave wise Effort'!$C$10:$N$80,12,0)</f>
        <v>189.86666666666667</v>
      </c>
      <c r="N60" s="88"/>
      <c r="O60" s="19" t="str">
        <f t="shared" si="7"/>
        <v>Jun'28</v>
      </c>
      <c r="P60" s="19" t="str">
        <f t="shared" si="8"/>
        <v>Sep'28</v>
      </c>
      <c r="Q60" s="19"/>
      <c r="R60" s="248"/>
      <c r="T60" s="1" t="str">
        <f t="shared" si="14"/>
        <v>Mar'27</v>
      </c>
      <c r="U60" s="1">
        <f t="shared" si="15"/>
        <v>0</v>
      </c>
      <c r="V60" s="1">
        <f t="shared" si="15"/>
        <v>0</v>
      </c>
      <c r="W60" s="1">
        <f t="shared" si="15"/>
        <v>0</v>
      </c>
      <c r="X60" s="1">
        <f t="shared" si="15"/>
        <v>0</v>
      </c>
      <c r="Z60" s="1" t="str">
        <f t="shared" si="16"/>
        <v>Mar'27</v>
      </c>
      <c r="AA60" s="18">
        <f t="shared" si="17"/>
        <v>0</v>
      </c>
      <c r="AB60" s="18">
        <f t="shared" si="18"/>
        <v>0</v>
      </c>
      <c r="AX60" s="8"/>
    </row>
    <row r="61" spans="1:58">
      <c r="A61" s="14" t="s">
        <v>424</v>
      </c>
      <c r="B61" s="8" t="s">
        <v>427</v>
      </c>
      <c r="C61" s="8" t="str">
        <f t="shared" si="13"/>
        <v>Philippineskh.br.as.phl.04</v>
      </c>
      <c r="D61" s="8" t="s">
        <v>450</v>
      </c>
      <c r="E61" s="186" t="s">
        <v>451</v>
      </c>
      <c r="F61" s="2">
        <v>15235.052144780015</v>
      </c>
      <c r="G61" s="19">
        <v>46926</v>
      </c>
      <c r="H61" s="19">
        <v>47024</v>
      </c>
      <c r="I61" s="19"/>
      <c r="J61" s="88">
        <f>VLOOKUP(C61,'Wave wise Effort'!$C$10:$N$80,9,0)</f>
        <v>72</v>
      </c>
      <c r="K61" s="88">
        <f>VLOOKUP(C61,'Wave wise Effort'!$C$10:$N$80,10,0)</f>
        <v>137.73333333333332</v>
      </c>
      <c r="L61" s="88">
        <f>VLOOKUP(C61,'Wave wise Effort'!$C$10:$N$80,11,0)</f>
        <v>148</v>
      </c>
      <c r="M61" s="88">
        <f>VLOOKUP(C61,'Wave wise Effort'!$C$10:$N$80,12,0)</f>
        <v>581.86666666666667</v>
      </c>
      <c r="N61" s="88"/>
      <c r="O61" s="19" t="str">
        <f t="shared" si="7"/>
        <v>Jun'28</v>
      </c>
      <c r="P61" s="19" t="str">
        <f t="shared" si="8"/>
        <v>Sep'28</v>
      </c>
      <c r="Q61" s="19"/>
      <c r="R61" s="248"/>
      <c r="T61" s="1" t="str">
        <f t="shared" si="14"/>
        <v>Apr'27</v>
      </c>
      <c r="U61" s="1">
        <f t="shared" si="15"/>
        <v>0</v>
      </c>
      <c r="V61" s="1">
        <f t="shared" si="15"/>
        <v>0</v>
      </c>
      <c r="W61" s="1">
        <f t="shared" si="15"/>
        <v>0</v>
      </c>
      <c r="X61" s="1">
        <f t="shared" si="15"/>
        <v>0</v>
      </c>
      <c r="Z61" s="1" t="str">
        <f t="shared" si="16"/>
        <v>Apr'27</v>
      </c>
      <c r="AA61" s="18">
        <f t="shared" si="17"/>
        <v>0</v>
      </c>
      <c r="AB61" s="18">
        <f t="shared" si="18"/>
        <v>0</v>
      </c>
      <c r="AX61" s="8"/>
    </row>
    <row r="62" spans="1:58">
      <c r="A62" s="14" t="s">
        <v>424</v>
      </c>
      <c r="B62" s="8" t="s">
        <v>427</v>
      </c>
      <c r="C62" s="8" t="str">
        <f t="shared" si="13"/>
        <v>Philippineskh.br.as.phl.05</v>
      </c>
      <c r="D62" s="8" t="s">
        <v>452</v>
      </c>
      <c r="E62" s="186" t="s">
        <v>453</v>
      </c>
      <c r="F62" s="2">
        <v>14445.808378845291</v>
      </c>
      <c r="G62" s="19">
        <v>46944</v>
      </c>
      <c r="H62" s="19">
        <v>47040</v>
      </c>
      <c r="I62" s="19"/>
      <c r="J62" s="88">
        <f>VLOOKUP(C62,'Wave wise Effort'!$C$10:$N$80,9,0)</f>
        <v>93.86666666666666</v>
      </c>
      <c r="K62" s="88">
        <f>VLOOKUP(C62,'Wave wise Effort'!$C$10:$N$80,10,0)</f>
        <v>179.6</v>
      </c>
      <c r="L62" s="88">
        <f>VLOOKUP(C62,'Wave wise Effort'!$C$10:$N$80,11,0)</f>
        <v>193.2</v>
      </c>
      <c r="M62" s="88">
        <f>VLOOKUP(C62,'Wave wise Effort'!$C$10:$N$80,12,0)</f>
        <v>758.4</v>
      </c>
      <c r="N62" s="88"/>
      <c r="O62" s="19" t="str">
        <f t="shared" si="7"/>
        <v>Jul'28</v>
      </c>
      <c r="P62" s="19" t="str">
        <f t="shared" si="8"/>
        <v>Oct'28</v>
      </c>
      <c r="Q62" s="19"/>
      <c r="R62" s="248"/>
      <c r="T62" s="1" t="str">
        <f t="shared" si="14"/>
        <v>May'27</v>
      </c>
      <c r="U62" s="1">
        <f t="shared" si="15"/>
        <v>0</v>
      </c>
      <c r="V62" s="1">
        <f t="shared" si="15"/>
        <v>0</v>
      </c>
      <c r="W62" s="1">
        <f t="shared" si="15"/>
        <v>0</v>
      </c>
      <c r="X62" s="1">
        <f t="shared" si="15"/>
        <v>0</v>
      </c>
      <c r="Z62" s="1" t="str">
        <f t="shared" si="16"/>
        <v>May'27</v>
      </c>
      <c r="AA62" s="18">
        <f t="shared" si="17"/>
        <v>0</v>
      </c>
      <c r="AB62" s="18">
        <f t="shared" si="18"/>
        <v>0</v>
      </c>
      <c r="AX62" s="8"/>
    </row>
    <row r="63" spans="1:58">
      <c r="A63" s="14" t="s">
        <v>424</v>
      </c>
      <c r="B63" s="8" t="s">
        <v>427</v>
      </c>
      <c r="C63" s="8" t="str">
        <f t="shared" si="13"/>
        <v>Philippineskh.br.as.phl.02</v>
      </c>
      <c r="D63" s="8" t="s">
        <v>454</v>
      </c>
      <c r="E63" s="186" t="s">
        <v>455</v>
      </c>
      <c r="F63" s="2">
        <v>4142.3365037327521</v>
      </c>
      <c r="G63" s="19">
        <v>46945</v>
      </c>
      <c r="H63" s="19">
        <v>47041</v>
      </c>
      <c r="I63" s="19"/>
      <c r="J63" s="88">
        <f>VLOOKUP(C63,'Wave wise Effort'!$C$10:$N$80,9,0)</f>
        <v>6.9333333333333336</v>
      </c>
      <c r="K63" s="88">
        <f>VLOOKUP(C63,'Wave wise Effort'!$C$10:$N$80,10,0)</f>
        <v>13.333333333333334</v>
      </c>
      <c r="L63" s="88">
        <f>VLOOKUP(C63,'Wave wise Effort'!$C$10:$N$80,11,0)</f>
        <v>14.266666666666667</v>
      </c>
      <c r="M63" s="88">
        <f>VLOOKUP(C63,'Wave wise Effort'!$C$10:$N$80,12,0)</f>
        <v>56</v>
      </c>
      <c r="N63" s="88"/>
      <c r="O63" s="19" t="str">
        <f t="shared" si="7"/>
        <v>Jul'28</v>
      </c>
      <c r="P63" s="19" t="str">
        <f t="shared" si="8"/>
        <v>Oct'28</v>
      </c>
      <c r="Q63" s="19"/>
      <c r="R63" s="248"/>
      <c r="T63" s="1" t="str">
        <f t="shared" si="14"/>
        <v>Jun'27</v>
      </c>
      <c r="U63" s="1">
        <f t="shared" si="15"/>
        <v>0</v>
      </c>
      <c r="V63" s="1">
        <f t="shared" si="15"/>
        <v>0</v>
      </c>
      <c r="W63" s="1">
        <f t="shared" si="15"/>
        <v>0</v>
      </c>
      <c r="X63" s="1">
        <f t="shared" si="15"/>
        <v>0</v>
      </c>
      <c r="Z63" s="1" t="str">
        <f t="shared" si="16"/>
        <v>Jun'27</v>
      </c>
      <c r="AA63" s="18">
        <f t="shared" si="17"/>
        <v>0</v>
      </c>
      <c r="AB63" s="18">
        <f t="shared" si="18"/>
        <v>0</v>
      </c>
      <c r="AX63" s="8"/>
    </row>
    <row r="64" spans="1:58">
      <c r="A64" s="14" t="s">
        <v>424</v>
      </c>
      <c r="B64" s="8" t="s">
        <v>427</v>
      </c>
      <c r="C64" s="8" t="str">
        <f t="shared" si="13"/>
        <v>Philippineskh.br.as.phl.03</v>
      </c>
      <c r="D64" s="8" t="s">
        <v>456</v>
      </c>
      <c r="E64" s="186" t="s">
        <v>457</v>
      </c>
      <c r="F64" s="2">
        <v>8833.8220027112984</v>
      </c>
      <c r="G64" s="19">
        <v>46948</v>
      </c>
      <c r="H64" s="19">
        <v>47045</v>
      </c>
      <c r="I64" s="19"/>
      <c r="J64" s="88">
        <f>VLOOKUP(C64,'Wave wise Effort'!$C$10:$N$80,9,0)</f>
        <v>14.266666666666667</v>
      </c>
      <c r="K64" s="88">
        <f>VLOOKUP(C64,'Wave wise Effort'!$C$10:$N$80,10,0)</f>
        <v>27.333333333333332</v>
      </c>
      <c r="L64" s="88">
        <f>VLOOKUP(C64,'Wave wise Effort'!$C$10:$N$80,11,0)</f>
        <v>29.466666666666665</v>
      </c>
      <c r="M64" s="88">
        <f>VLOOKUP(C64,'Wave wise Effort'!$C$10:$N$80,12,0)</f>
        <v>115.2</v>
      </c>
      <c r="N64" s="88"/>
      <c r="O64" s="19" t="str">
        <f t="shared" si="7"/>
        <v>Jul'28</v>
      </c>
      <c r="P64" s="19" t="str">
        <f t="shared" si="8"/>
        <v>Oct'28</v>
      </c>
      <c r="Q64" s="19"/>
      <c r="R64" s="248"/>
      <c r="T64" s="1" t="str">
        <f t="shared" si="14"/>
        <v>Jul'27</v>
      </c>
      <c r="U64" s="1">
        <f t="shared" si="15"/>
        <v>202.53333333333336</v>
      </c>
      <c r="V64" s="1">
        <f t="shared" si="15"/>
        <v>0</v>
      </c>
      <c r="W64" s="1">
        <f t="shared" si="15"/>
        <v>31.6</v>
      </c>
      <c r="X64" s="1">
        <f t="shared" si="15"/>
        <v>0</v>
      </c>
      <c r="Z64" s="1" t="str">
        <f t="shared" si="16"/>
        <v>Jul'27</v>
      </c>
      <c r="AA64" s="18">
        <f t="shared" si="17"/>
        <v>7632.6118910981922</v>
      </c>
      <c r="AB64" s="18">
        <f t="shared" si="18"/>
        <v>0</v>
      </c>
      <c r="AX64" s="8"/>
    </row>
    <row r="65" spans="1:58">
      <c r="A65" s="14" t="s">
        <v>424</v>
      </c>
      <c r="B65" s="8" t="s">
        <v>427</v>
      </c>
      <c r="C65" s="8" t="str">
        <f t="shared" si="13"/>
        <v>Philippineskh.br.as.phl.01</v>
      </c>
      <c r="D65" s="8" t="s">
        <v>458</v>
      </c>
      <c r="E65" s="186" t="s">
        <v>459</v>
      </c>
      <c r="F65" s="2">
        <v>7974.742510957054</v>
      </c>
      <c r="G65" s="19">
        <v>46954</v>
      </c>
      <c r="H65" s="19">
        <v>47049</v>
      </c>
      <c r="I65" s="19"/>
      <c r="J65" s="88">
        <f>VLOOKUP(C65,'Wave wise Effort'!$C$10:$N$80,9,0)</f>
        <v>20.533333333333335</v>
      </c>
      <c r="K65" s="88">
        <f>VLOOKUP(C65,'Wave wise Effort'!$C$10:$N$80,10,0)</f>
        <v>39.200000000000003</v>
      </c>
      <c r="L65" s="88">
        <f>VLOOKUP(C65,'Wave wise Effort'!$C$10:$N$80,11,0)</f>
        <v>42.266666666666666</v>
      </c>
      <c r="M65" s="88">
        <f>VLOOKUP(C65,'Wave wise Effort'!$C$10:$N$80,12,0)</f>
        <v>165.6</v>
      </c>
      <c r="N65" s="88"/>
      <c r="O65" s="19" t="str">
        <f t="shared" si="7"/>
        <v>Jul'28</v>
      </c>
      <c r="P65" s="19" t="str">
        <f t="shared" si="8"/>
        <v>Oct'28</v>
      </c>
      <c r="Q65" s="19"/>
      <c r="R65" s="248"/>
      <c r="T65" s="1" t="str">
        <f t="shared" si="14"/>
        <v>Aug'27</v>
      </c>
      <c r="U65" s="1">
        <f t="shared" si="15"/>
        <v>346.13333333333333</v>
      </c>
      <c r="V65" s="1">
        <f t="shared" si="15"/>
        <v>0</v>
      </c>
      <c r="W65" s="1">
        <f t="shared" si="15"/>
        <v>54</v>
      </c>
      <c r="X65" s="1">
        <f t="shared" si="15"/>
        <v>0</v>
      </c>
      <c r="Z65" s="1" t="str">
        <f t="shared" si="16"/>
        <v>Aug'27</v>
      </c>
      <c r="AA65" s="18">
        <f t="shared" si="17"/>
        <v>11419.855856456121</v>
      </c>
      <c r="AB65" s="18">
        <f t="shared" si="18"/>
        <v>0</v>
      </c>
      <c r="AX65" s="8"/>
    </row>
    <row r="66" spans="1:58">
      <c r="A66" s="14" t="s">
        <v>424</v>
      </c>
      <c r="B66" s="8" t="s">
        <v>428</v>
      </c>
      <c r="C66" s="8" t="str">
        <f t="shared" si="13"/>
        <v>Philippineskh.br.as.phl.17</v>
      </c>
      <c r="D66" s="8" t="s">
        <v>460</v>
      </c>
      <c r="E66" s="186" t="s">
        <v>461</v>
      </c>
      <c r="F66" s="2">
        <v>3307.880251980916</v>
      </c>
      <c r="G66" s="19">
        <v>46956</v>
      </c>
      <c r="H66" s="19">
        <v>47050</v>
      </c>
      <c r="I66" s="19"/>
      <c r="J66" s="88">
        <f>VLOOKUP(C66,'Wave wise Effort'!$C$10:$N$80,9,0)</f>
        <v>19.066666666666666</v>
      </c>
      <c r="K66" s="88">
        <f>VLOOKUP(C66,'Wave wise Effort'!$C$10:$N$80,10,0)</f>
        <v>36.666666666666664</v>
      </c>
      <c r="L66" s="88">
        <f>VLOOKUP(C66,'Wave wise Effort'!$C$10:$N$80,11,0)</f>
        <v>39.200000000000003</v>
      </c>
      <c r="M66" s="88">
        <f>VLOOKUP(C66,'Wave wise Effort'!$C$10:$N$80,12,0)</f>
        <v>154.26666666666668</v>
      </c>
      <c r="N66" s="88"/>
      <c r="O66" s="19" t="str">
        <f t="shared" si="7"/>
        <v>Jul'28</v>
      </c>
      <c r="P66" s="19" t="str">
        <f t="shared" si="8"/>
        <v>Oct'28</v>
      </c>
      <c r="Q66" s="19"/>
      <c r="R66" s="248"/>
      <c r="T66" s="1" t="str">
        <f t="shared" si="14"/>
        <v>Sep'27</v>
      </c>
      <c r="U66" s="1">
        <f t="shared" si="15"/>
        <v>1701.3333333333335</v>
      </c>
      <c r="V66" s="1">
        <f t="shared" si="15"/>
        <v>0</v>
      </c>
      <c r="W66" s="1">
        <f t="shared" si="15"/>
        <v>265.73333333333335</v>
      </c>
      <c r="X66" s="1">
        <f t="shared" si="15"/>
        <v>0</v>
      </c>
      <c r="Z66" s="1" t="str">
        <f t="shared" si="16"/>
        <v>Sep'27</v>
      </c>
      <c r="AA66" s="18">
        <f t="shared" si="17"/>
        <v>59071.126766442438</v>
      </c>
      <c r="AB66" s="18">
        <f t="shared" si="18"/>
        <v>0</v>
      </c>
      <c r="AX66" s="8"/>
    </row>
    <row r="67" spans="1:58">
      <c r="A67" s="14" t="s">
        <v>424</v>
      </c>
      <c r="B67" s="8" t="s">
        <v>428</v>
      </c>
      <c r="C67" s="8" t="str">
        <f t="shared" si="13"/>
        <v>Philippineskh.br.as.phl.15</v>
      </c>
      <c r="D67" s="8" t="s">
        <v>462</v>
      </c>
      <c r="E67" s="186" t="s">
        <v>463</v>
      </c>
      <c r="F67" s="2">
        <v>10514.308514180691</v>
      </c>
      <c r="G67" s="19">
        <v>46962</v>
      </c>
      <c r="H67" s="19">
        <v>47056</v>
      </c>
      <c r="I67" s="19"/>
      <c r="J67" s="88">
        <f>VLOOKUP(C67,'Wave wise Effort'!$C$10:$N$80,9,0)</f>
        <v>16.933333333333334</v>
      </c>
      <c r="K67" s="88">
        <f>VLOOKUP(C67,'Wave wise Effort'!$C$10:$N$80,10,0)</f>
        <v>32.266666666666666</v>
      </c>
      <c r="L67" s="88">
        <f>VLOOKUP(C67,'Wave wise Effort'!$C$10:$N$80,11,0)</f>
        <v>34.93333333333333</v>
      </c>
      <c r="M67" s="88">
        <f>VLOOKUP(C67,'Wave wise Effort'!$C$10:$N$80,12,0)</f>
        <v>136.13333333333333</v>
      </c>
      <c r="N67" s="88"/>
      <c r="O67" s="19" t="str">
        <f t="shared" ref="O67:O71" si="19">TEXT(G67,"mmm'yy")</f>
        <v>Jul'28</v>
      </c>
      <c r="P67" s="19" t="str">
        <f t="shared" ref="P67:P71" si="20">TEXT(H67,"mmm'yy")</f>
        <v>Oct'28</v>
      </c>
      <c r="Q67" s="19"/>
      <c r="R67" s="248"/>
      <c r="T67" s="1" t="str">
        <f t="shared" si="14"/>
        <v>Oct'27</v>
      </c>
      <c r="U67" s="1">
        <f t="shared" si="15"/>
        <v>1502</v>
      </c>
      <c r="V67" s="1">
        <f t="shared" si="15"/>
        <v>0</v>
      </c>
      <c r="W67" s="1">
        <f t="shared" si="15"/>
        <v>234.53333333333333</v>
      </c>
      <c r="X67" s="1">
        <f t="shared" si="15"/>
        <v>0</v>
      </c>
      <c r="Z67" s="1" t="str">
        <f t="shared" si="16"/>
        <v>Oct'27</v>
      </c>
      <c r="AA67" s="18">
        <f t="shared" si="17"/>
        <v>54422.15072201861</v>
      </c>
      <c r="AB67" s="18">
        <f t="shared" si="18"/>
        <v>0</v>
      </c>
      <c r="AX67" s="8"/>
    </row>
    <row r="68" spans="1:58">
      <c r="A68" s="14" t="s">
        <v>424</v>
      </c>
      <c r="B68" s="8" t="s">
        <v>428</v>
      </c>
      <c r="C68" s="8" t="str">
        <f t="shared" si="13"/>
        <v>Philippineskh.br.as.phl.16</v>
      </c>
      <c r="D68" s="8" t="s">
        <v>464</v>
      </c>
      <c r="E68" s="186" t="s">
        <v>465</v>
      </c>
      <c r="F68" s="2">
        <v>4840.8377192336065</v>
      </c>
      <c r="G68" s="19">
        <v>46964</v>
      </c>
      <c r="H68" s="19">
        <v>47059</v>
      </c>
      <c r="I68" s="19"/>
      <c r="J68" s="88">
        <f>VLOOKUP(C68,'Wave wise Effort'!$C$10:$N$80,9,0)</f>
        <v>10.8</v>
      </c>
      <c r="K68" s="88">
        <f>VLOOKUP(C68,'Wave wise Effort'!$C$10:$N$80,10,0)</f>
        <v>20.8</v>
      </c>
      <c r="L68" s="88">
        <f>VLOOKUP(C68,'Wave wise Effort'!$C$10:$N$80,11,0)</f>
        <v>22.4</v>
      </c>
      <c r="M68" s="88">
        <f>VLOOKUP(C68,'Wave wise Effort'!$C$10:$N$80,12,0)</f>
        <v>87.86666666666666</v>
      </c>
      <c r="N68" s="88"/>
      <c r="O68" s="19" t="str">
        <f t="shared" si="19"/>
        <v>Jul'28</v>
      </c>
      <c r="P68" s="19" t="str">
        <f t="shared" si="20"/>
        <v>Nov'28</v>
      </c>
      <c r="Q68" s="19"/>
      <c r="R68" s="248"/>
      <c r="T68" s="1" t="str">
        <f t="shared" si="14"/>
        <v>Nov'27</v>
      </c>
      <c r="U68" s="1">
        <f t="shared" si="15"/>
        <v>1202.1333333333332</v>
      </c>
      <c r="V68" s="1">
        <f t="shared" si="15"/>
        <v>81.066666666666663</v>
      </c>
      <c r="W68" s="1">
        <f t="shared" si="15"/>
        <v>187.86666666666667</v>
      </c>
      <c r="X68" s="1">
        <f t="shared" si="15"/>
        <v>0</v>
      </c>
      <c r="Z68" s="1" t="str">
        <f t="shared" si="16"/>
        <v>Nov'27</v>
      </c>
      <c r="AA68" s="18">
        <f t="shared" si="17"/>
        <v>24712.148954007811</v>
      </c>
      <c r="AB68" s="18">
        <f t="shared" si="18"/>
        <v>7632.6118910981922</v>
      </c>
      <c r="BC68" s="8"/>
    </row>
    <row r="69" spans="1:58">
      <c r="A69" s="14" t="s">
        <v>424</v>
      </c>
      <c r="B69" s="8" t="s">
        <v>428</v>
      </c>
      <c r="C69" s="8" t="str">
        <f t="shared" si="13"/>
        <v>Philippineskh.br.as.phl.13</v>
      </c>
      <c r="D69" s="8" t="s">
        <v>466</v>
      </c>
      <c r="E69" s="186" t="s">
        <v>467</v>
      </c>
      <c r="F69" s="2">
        <v>10575.002908751863</v>
      </c>
      <c r="G69" s="19">
        <v>46970</v>
      </c>
      <c r="H69" s="19">
        <v>47064</v>
      </c>
      <c r="I69" s="19"/>
      <c r="J69" s="88">
        <f>VLOOKUP(C69,'Wave wise Effort'!$C$10:$N$80,9,0)</f>
        <v>19.466666666666665</v>
      </c>
      <c r="K69" s="88">
        <f>VLOOKUP(C69,'Wave wise Effort'!$C$10:$N$80,10,0)</f>
        <v>37.200000000000003</v>
      </c>
      <c r="L69" s="88">
        <f>VLOOKUP(C69,'Wave wise Effort'!$C$10:$N$80,11,0)</f>
        <v>40</v>
      </c>
      <c r="M69" s="88">
        <f>VLOOKUP(C69,'Wave wise Effort'!$C$10:$N$80,12,0)</f>
        <v>156.80000000000001</v>
      </c>
      <c r="N69" s="88"/>
      <c r="O69" s="19" t="str">
        <f t="shared" si="19"/>
        <v>Aug'28</v>
      </c>
      <c r="P69" s="19" t="str">
        <f t="shared" si="20"/>
        <v>Nov'28</v>
      </c>
      <c r="Q69" s="19"/>
      <c r="R69" s="248"/>
      <c r="T69" s="1" t="str">
        <f t="shared" si="14"/>
        <v>Dec'27</v>
      </c>
      <c r="U69" s="1">
        <f t="shared" si="15"/>
        <v>412</v>
      </c>
      <c r="V69" s="1">
        <f t="shared" si="15"/>
        <v>138.26666666666668</v>
      </c>
      <c r="W69" s="1">
        <f t="shared" si="15"/>
        <v>64.400000000000006</v>
      </c>
      <c r="X69" s="1">
        <f t="shared" si="15"/>
        <v>0</v>
      </c>
      <c r="Z69" s="1" t="str">
        <f t="shared" si="16"/>
        <v>Dec'27</v>
      </c>
      <c r="AA69" s="18">
        <f t="shared" si="17"/>
        <v>13092.84165088862</v>
      </c>
      <c r="AB69" s="18">
        <f t="shared" si="18"/>
        <v>11419.855856456121</v>
      </c>
      <c r="BC69" s="8"/>
    </row>
    <row r="70" spans="1:58">
      <c r="A70" s="14" t="s">
        <v>424</v>
      </c>
      <c r="B70" s="8" t="s">
        <v>428</v>
      </c>
      <c r="C70" s="8" t="str">
        <f t="shared" si="13"/>
        <v>Philippineskh.br.as.phl.14</v>
      </c>
      <c r="D70" s="8" t="s">
        <v>468</v>
      </c>
      <c r="E70" s="186" t="s">
        <v>469</v>
      </c>
      <c r="F70" s="2">
        <v>11205.202312439493</v>
      </c>
      <c r="G70" s="19">
        <v>46976</v>
      </c>
      <c r="H70" s="19">
        <v>47070</v>
      </c>
      <c r="I70" s="19"/>
      <c r="J70" s="88">
        <f>VLOOKUP(C70,'Wave wise Effort'!$C$10:$N$80,9,0)</f>
        <v>20.266666666666666</v>
      </c>
      <c r="K70" s="88">
        <f>VLOOKUP(C70,'Wave wise Effort'!$C$10:$N$80,10,0)</f>
        <v>38.799999999999997</v>
      </c>
      <c r="L70" s="88">
        <f>VLOOKUP(C70,'Wave wise Effort'!$C$10:$N$80,11,0)</f>
        <v>41.733333333333334</v>
      </c>
      <c r="M70" s="88">
        <f>VLOOKUP(C70,'Wave wise Effort'!$C$10:$N$80,12,0)</f>
        <v>163.6</v>
      </c>
      <c r="N70" s="88"/>
      <c r="O70" s="19" t="str">
        <f t="shared" si="19"/>
        <v>Aug'28</v>
      </c>
      <c r="P70" s="19" t="str">
        <f t="shared" si="20"/>
        <v>Nov'28</v>
      </c>
      <c r="Q70" s="19"/>
      <c r="R70" s="248"/>
      <c r="T70" s="1" t="str">
        <f t="shared" si="14"/>
        <v>Jan'28</v>
      </c>
      <c r="U70" s="1">
        <f t="shared" si="15"/>
        <v>968.26666666666665</v>
      </c>
      <c r="V70" s="1">
        <f t="shared" si="15"/>
        <v>679.4666666666667</v>
      </c>
      <c r="W70" s="1">
        <f t="shared" si="15"/>
        <v>151.19999999999999</v>
      </c>
      <c r="X70" s="1">
        <f t="shared" si="15"/>
        <v>0</v>
      </c>
      <c r="Z70" s="1" t="str">
        <f t="shared" si="16"/>
        <v>Jan'28</v>
      </c>
      <c r="AA70" s="18">
        <f t="shared" si="17"/>
        <v>20783.999792175164</v>
      </c>
      <c r="AB70" s="18">
        <f t="shared" si="18"/>
        <v>59071.126766442438</v>
      </c>
      <c r="BF70" s="8"/>
    </row>
    <row r="71" spans="1:58" ht="14" thickBot="1">
      <c r="A71" s="10" t="s">
        <v>424</v>
      </c>
      <c r="B71" s="11" t="s">
        <v>428</v>
      </c>
      <c r="C71" s="11" t="str">
        <f t="shared" si="13"/>
        <v>Philippineskh.br.as.phl.12</v>
      </c>
      <c r="D71" s="11" t="s">
        <v>470</v>
      </c>
      <c r="E71" s="11" t="s">
        <v>471</v>
      </c>
      <c r="F71" s="117">
        <v>5603.037525093504</v>
      </c>
      <c r="G71" s="145">
        <v>46978</v>
      </c>
      <c r="H71" s="145">
        <v>47073</v>
      </c>
      <c r="I71" s="271"/>
      <c r="J71" s="272">
        <f>VLOOKUP(C71,'Wave wise Effort'!$C$10:$N$80,9,0)</f>
        <v>14.933333333333334</v>
      </c>
      <c r="K71" s="272">
        <f>VLOOKUP(C71,'Wave wise Effort'!$C$10:$N$80,10,0)</f>
        <v>28.666666666666668</v>
      </c>
      <c r="L71" s="272">
        <f>VLOOKUP(C71,'Wave wise Effort'!$C$10:$N$80,11,0)</f>
        <v>30.8</v>
      </c>
      <c r="M71" s="272">
        <f>VLOOKUP(C71,'Wave wise Effort'!$C$10:$N$80,12,0)</f>
        <v>120.8</v>
      </c>
      <c r="N71" s="272"/>
      <c r="O71" s="271" t="str">
        <f t="shared" si="19"/>
        <v>Aug'28</v>
      </c>
      <c r="P71" s="271" t="str">
        <f t="shared" si="20"/>
        <v>Nov'28</v>
      </c>
      <c r="Q71" s="271"/>
      <c r="R71" s="249"/>
      <c r="T71" s="1" t="str">
        <f t="shared" si="14"/>
        <v>Feb'28</v>
      </c>
      <c r="U71" s="1">
        <f t="shared" si="15"/>
        <v>1024.6666666666667</v>
      </c>
      <c r="V71" s="1">
        <f t="shared" si="15"/>
        <v>255.2</v>
      </c>
      <c r="W71" s="1">
        <f t="shared" si="15"/>
        <v>160</v>
      </c>
      <c r="X71" s="1">
        <f t="shared" si="15"/>
        <v>0</v>
      </c>
      <c r="Z71" s="1" t="str">
        <f t="shared" si="16"/>
        <v>Feb'28</v>
      </c>
      <c r="AA71" s="18">
        <f t="shared" si="17"/>
        <v>20863.356505148582</v>
      </c>
      <c r="AB71" s="18">
        <f t="shared" si="18"/>
        <v>43358.096454011815</v>
      </c>
      <c r="BF71" s="8"/>
    </row>
    <row r="72" spans="1:58">
      <c r="T72" s="1" t="str">
        <f t="shared" si="14"/>
        <v>Mar'28</v>
      </c>
      <c r="U72" s="1">
        <f t="shared" si="15"/>
        <v>1262.9333333333334</v>
      </c>
      <c r="V72" s="1">
        <f t="shared" si="15"/>
        <v>345.33333333333337</v>
      </c>
      <c r="W72" s="1">
        <f t="shared" si="15"/>
        <v>202</v>
      </c>
      <c r="X72" s="1">
        <f t="shared" si="15"/>
        <v>0</v>
      </c>
      <c r="Z72" s="1" t="str">
        <f t="shared" si="16"/>
        <v>Mar'28</v>
      </c>
      <c r="AA72" s="18">
        <f t="shared" si="17"/>
        <v>26899.011323439754</v>
      </c>
      <c r="AB72" s="18">
        <f t="shared" si="18"/>
        <v>11064.054268006799</v>
      </c>
      <c r="BF72" s="8"/>
    </row>
    <row r="73" spans="1:58">
      <c r="T73" s="1" t="str">
        <f t="shared" si="14"/>
        <v>Apr'28</v>
      </c>
      <c r="U73" s="1">
        <f t="shared" ref="U73:X86" si="21">U29</f>
        <v>1459.3333333333335</v>
      </c>
      <c r="V73" s="1">
        <f t="shared" si="21"/>
        <v>480.5333333333333</v>
      </c>
      <c r="W73" s="1">
        <f t="shared" si="21"/>
        <v>228</v>
      </c>
      <c r="X73" s="1">
        <f t="shared" si="21"/>
        <v>0</v>
      </c>
      <c r="Z73" s="1" t="str">
        <f t="shared" si="16"/>
        <v>Apr'28</v>
      </c>
      <c r="AA73" s="18">
        <f t="shared" si="17"/>
        <v>56328.707900137531</v>
      </c>
      <c r="AB73" s="18">
        <f t="shared" si="18"/>
        <v>24712.148954007811</v>
      </c>
      <c r="BF73" s="8"/>
    </row>
    <row r="74" spans="1:58">
      <c r="T74" s="1" t="str">
        <f t="shared" si="14"/>
        <v>May'28</v>
      </c>
      <c r="U74" s="1">
        <f t="shared" si="21"/>
        <v>525.20000000000005</v>
      </c>
      <c r="V74" s="1">
        <f t="shared" si="21"/>
        <v>551.6</v>
      </c>
      <c r="W74" s="1">
        <f t="shared" si="21"/>
        <v>112.26666666666667</v>
      </c>
      <c r="X74" s="1">
        <f t="shared" si="21"/>
        <v>0</v>
      </c>
      <c r="Z74" s="1" t="str">
        <f t="shared" si="16"/>
        <v>May'28</v>
      </c>
      <c r="AA74" s="18">
        <f t="shared" si="17"/>
        <v>46875.510321995767</v>
      </c>
      <c r="AB74" s="18">
        <f t="shared" si="18"/>
        <v>33876.841443063786</v>
      </c>
      <c r="BF74" s="8"/>
    </row>
    <row r="75" spans="1:58">
      <c r="T75" s="1" t="str">
        <f t="shared" si="14"/>
        <v>Jun'28</v>
      </c>
      <c r="U75" s="1">
        <f t="shared" si="21"/>
        <v>689.33333333333326</v>
      </c>
      <c r="V75" s="1">
        <f t="shared" si="21"/>
        <v>671.73333333333335</v>
      </c>
      <c r="W75" s="1">
        <f t="shared" si="21"/>
        <v>173.73333333333335</v>
      </c>
      <c r="X75" s="1">
        <f t="shared" si="21"/>
        <v>0</v>
      </c>
      <c r="Z75" s="1" t="str">
        <f t="shared" si="16"/>
        <v>Jun'28</v>
      </c>
      <c r="AA75" s="18">
        <f t="shared" si="17"/>
        <v>26455.699688264998</v>
      </c>
      <c r="AB75" s="18">
        <f t="shared" si="18"/>
        <v>30356.918645746802</v>
      </c>
      <c r="BF75" s="8"/>
    </row>
    <row r="76" spans="1:58">
      <c r="T76" s="1" t="str">
        <f t="shared" si="14"/>
        <v>Jul'28</v>
      </c>
      <c r="U76" s="1">
        <f t="shared" si="21"/>
        <v>724.93333333333339</v>
      </c>
      <c r="V76" s="1">
        <f t="shared" si="21"/>
        <v>710.8</v>
      </c>
      <c r="W76" s="1">
        <f t="shared" si="21"/>
        <v>182.4</v>
      </c>
      <c r="X76" s="1">
        <f t="shared" si="21"/>
        <v>0</v>
      </c>
      <c r="Z76" s="1" t="str">
        <f t="shared" si="16"/>
        <v>Jul'28</v>
      </c>
      <c r="AA76" s="18">
        <f t="shared" si="17"/>
        <v>54059.735881641609</v>
      </c>
      <c r="AB76" s="18">
        <f t="shared" si="18"/>
        <v>56502.932637714126</v>
      </c>
      <c r="BF76" s="8"/>
    </row>
    <row r="77" spans="1:58">
      <c r="T77" s="1" t="str">
        <f t="shared" si="14"/>
        <v>Aug'28</v>
      </c>
      <c r="U77" s="1">
        <f t="shared" si="21"/>
        <v>217.2</v>
      </c>
      <c r="V77" s="1">
        <f t="shared" si="21"/>
        <v>717.73333333333323</v>
      </c>
      <c r="W77" s="1">
        <f t="shared" si="21"/>
        <v>54.666666666666671</v>
      </c>
      <c r="X77" s="1">
        <f t="shared" si="21"/>
        <v>0</v>
      </c>
      <c r="Z77" s="1" t="str">
        <f t="shared" si="16"/>
        <v>Aug'28</v>
      </c>
      <c r="AA77" s="18">
        <f t="shared" si="17"/>
        <v>27383.242746284857</v>
      </c>
      <c r="AB77" s="18">
        <f t="shared" si="18"/>
        <v>55161.087340184975</v>
      </c>
      <c r="BF77" s="8"/>
    </row>
    <row r="78" spans="1:58">
      <c r="T78" s="1" t="str">
        <f t="shared" si="14"/>
        <v>Sep'28</v>
      </c>
      <c r="U78" s="1">
        <f t="shared" si="21"/>
        <v>0</v>
      </c>
      <c r="V78" s="1">
        <f t="shared" si="21"/>
        <v>1607.7333333333336</v>
      </c>
      <c r="W78" s="1">
        <f t="shared" si="21"/>
        <v>0</v>
      </c>
      <c r="X78" s="1">
        <f t="shared" si="21"/>
        <v>0</v>
      </c>
      <c r="Z78" s="1" t="str">
        <f t="shared" si="16"/>
        <v>Sep'28</v>
      </c>
      <c r="AA78" s="18">
        <f t="shared" si="17"/>
        <v>0</v>
      </c>
      <c r="AB78" s="18">
        <f t="shared" si="18"/>
        <v>35401.347115340715</v>
      </c>
      <c r="BF78" s="8"/>
    </row>
    <row r="79" spans="1:58">
      <c r="T79" s="1" t="str">
        <f t="shared" si="14"/>
        <v>Oct'28</v>
      </c>
      <c r="U79" s="1">
        <f t="shared" si="21"/>
        <v>0</v>
      </c>
      <c r="V79" s="1">
        <f t="shared" si="21"/>
        <v>1385.6</v>
      </c>
      <c r="W79" s="1">
        <f t="shared" si="21"/>
        <v>0</v>
      </c>
      <c r="X79" s="1">
        <f t="shared" si="21"/>
        <v>0</v>
      </c>
      <c r="Z79" s="1" t="str">
        <f t="shared" si="16"/>
        <v>Oct'28</v>
      </c>
      <c r="AA79" s="18">
        <f t="shared" si="17"/>
        <v>0</v>
      </c>
      <c r="AB79" s="18">
        <f t="shared" si="18"/>
        <v>49218.898162408004</v>
      </c>
      <c r="BF79" s="8"/>
    </row>
    <row r="80" spans="1:58">
      <c r="F80" s="253"/>
      <c r="J80" s="253"/>
      <c r="K80" s="253"/>
      <c r="L80" s="253"/>
      <c r="M80" s="253"/>
      <c r="N80" s="253"/>
      <c r="O80" s="22"/>
      <c r="P80" s="22"/>
      <c r="Q80" s="22"/>
      <c r="T80" s="1" t="str">
        <f t="shared" si="14"/>
        <v>Nov'28</v>
      </c>
      <c r="U80" s="1">
        <f t="shared" si="21"/>
        <v>0</v>
      </c>
      <c r="V80" s="1">
        <f t="shared" si="21"/>
        <v>529.06666666666661</v>
      </c>
      <c r="W80" s="1">
        <f t="shared" si="21"/>
        <v>0</v>
      </c>
      <c r="X80" s="1">
        <f t="shared" si="21"/>
        <v>0</v>
      </c>
      <c r="Z80" s="1" t="str">
        <f t="shared" si="16"/>
        <v>Nov'28</v>
      </c>
      <c r="AA80" s="18">
        <f t="shared" si="17"/>
        <v>0</v>
      </c>
      <c r="AB80" s="18">
        <f t="shared" si="18"/>
        <v>32224.080465518466</v>
      </c>
      <c r="BF80" s="8"/>
    </row>
    <row r="81" spans="5:58">
      <c r="F81" s="253"/>
      <c r="J81" s="253"/>
      <c r="K81" s="253"/>
      <c r="L81" s="253"/>
      <c r="M81" s="253"/>
      <c r="N81" s="253"/>
      <c r="O81" s="22"/>
      <c r="P81" s="22"/>
      <c r="Q81" s="22"/>
      <c r="T81" s="1" t="str">
        <f t="shared" si="14"/>
        <v>Dec'28</v>
      </c>
      <c r="U81" s="1">
        <f t="shared" si="21"/>
        <v>0</v>
      </c>
      <c r="V81" s="1">
        <f t="shared" si="21"/>
        <v>0</v>
      </c>
      <c r="W81" s="1">
        <f t="shared" si="21"/>
        <v>0</v>
      </c>
      <c r="X81" s="1">
        <f t="shared" si="21"/>
        <v>0</v>
      </c>
      <c r="Z81" s="1" t="str">
        <f t="shared" si="16"/>
        <v>Dec'28</v>
      </c>
      <c r="AA81" s="18">
        <f t="shared" si="17"/>
        <v>0</v>
      </c>
      <c r="AB81" s="18">
        <f t="shared" si="18"/>
        <v>0</v>
      </c>
      <c r="BF81" s="8"/>
    </row>
    <row r="82" spans="5:58">
      <c r="F82" s="253"/>
      <c r="J82" s="253"/>
      <c r="K82" s="253"/>
      <c r="L82" s="253"/>
      <c r="M82" s="253"/>
      <c r="N82" s="253"/>
      <c r="O82" s="22"/>
      <c r="P82" s="22"/>
      <c r="Q82" s="22"/>
      <c r="T82" s="1" t="str">
        <f t="shared" si="14"/>
        <v>Jan'29</v>
      </c>
      <c r="U82" s="1">
        <f t="shared" si="21"/>
        <v>0</v>
      </c>
      <c r="V82" s="1">
        <f t="shared" si="21"/>
        <v>0</v>
      </c>
      <c r="W82" s="1">
        <f t="shared" si="21"/>
        <v>0</v>
      </c>
      <c r="X82" s="1">
        <f t="shared" si="21"/>
        <v>0</v>
      </c>
      <c r="Z82" s="1" t="str">
        <f t="shared" si="16"/>
        <v>Jan'29</v>
      </c>
      <c r="AA82" s="18">
        <f t="shared" si="17"/>
        <v>0</v>
      </c>
      <c r="AB82" s="18">
        <f t="shared" si="18"/>
        <v>0</v>
      </c>
      <c r="BF82" s="8"/>
    </row>
    <row r="83" spans="5:58">
      <c r="F83" s="253"/>
      <c r="J83" s="253"/>
      <c r="K83" s="253"/>
      <c r="L83" s="253"/>
      <c r="M83" s="253"/>
      <c r="N83" s="253"/>
      <c r="O83" s="22"/>
      <c r="P83" s="22"/>
      <c r="Q83" s="22"/>
      <c r="T83" s="1" t="str">
        <f t="shared" si="14"/>
        <v>Feb'29</v>
      </c>
      <c r="U83" s="1">
        <f t="shared" si="21"/>
        <v>0</v>
      </c>
      <c r="V83" s="1">
        <f t="shared" si="21"/>
        <v>0</v>
      </c>
      <c r="W83" s="1">
        <f t="shared" si="21"/>
        <v>0</v>
      </c>
      <c r="X83" s="1">
        <f t="shared" si="21"/>
        <v>0</v>
      </c>
      <c r="Z83" s="1" t="str">
        <f t="shared" si="16"/>
        <v>Feb'29</v>
      </c>
      <c r="AA83" s="18">
        <f t="shared" si="17"/>
        <v>0</v>
      </c>
      <c r="AB83" s="18">
        <f t="shared" si="18"/>
        <v>0</v>
      </c>
      <c r="BF83" s="8"/>
    </row>
    <row r="84" spans="5:58">
      <c r="F84" s="253"/>
      <c r="J84" s="253"/>
      <c r="K84" s="253"/>
      <c r="L84" s="253"/>
      <c r="M84" s="253"/>
      <c r="N84" s="253"/>
      <c r="O84" s="22"/>
      <c r="P84" s="22"/>
      <c r="Q84" s="22"/>
      <c r="T84" s="1" t="str">
        <f t="shared" si="14"/>
        <v>Mar'29</v>
      </c>
      <c r="U84" s="1">
        <f t="shared" si="21"/>
        <v>0</v>
      </c>
      <c r="V84" s="1">
        <f t="shared" si="21"/>
        <v>0</v>
      </c>
      <c r="W84" s="1">
        <f t="shared" si="21"/>
        <v>0</v>
      </c>
      <c r="X84" s="1">
        <f t="shared" si="21"/>
        <v>0</v>
      </c>
      <c r="Z84" s="1" t="str">
        <f t="shared" si="16"/>
        <v>Mar'29</v>
      </c>
      <c r="AA84" s="18">
        <f t="shared" si="17"/>
        <v>0</v>
      </c>
      <c r="AB84" s="18">
        <f t="shared" si="18"/>
        <v>0</v>
      </c>
      <c r="BF84" s="8"/>
    </row>
    <row r="85" spans="5:58">
      <c r="F85" s="253"/>
      <c r="J85" s="253"/>
      <c r="K85" s="253"/>
      <c r="L85" s="253"/>
      <c r="M85" s="253"/>
      <c r="N85" s="253"/>
      <c r="O85" s="22"/>
      <c r="P85" s="22"/>
      <c r="Q85" s="22"/>
      <c r="T85" s="1" t="str">
        <f t="shared" si="14"/>
        <v>Apr'29</v>
      </c>
      <c r="U85" s="1">
        <f t="shared" si="21"/>
        <v>0</v>
      </c>
      <c r="V85" s="1">
        <f t="shared" si="21"/>
        <v>0</v>
      </c>
      <c r="W85" s="1">
        <f t="shared" si="21"/>
        <v>0</v>
      </c>
      <c r="X85" s="1">
        <f t="shared" si="21"/>
        <v>0</v>
      </c>
      <c r="Z85" s="1" t="str">
        <f t="shared" si="16"/>
        <v>Apr'29</v>
      </c>
      <c r="AA85" s="18">
        <f t="shared" si="17"/>
        <v>0</v>
      </c>
      <c r="AB85" s="18">
        <f t="shared" si="18"/>
        <v>0</v>
      </c>
      <c r="BF85" s="8"/>
    </row>
    <row r="86" spans="5:58">
      <c r="F86" s="253"/>
      <c r="J86" s="253"/>
      <c r="K86" s="253"/>
      <c r="L86" s="253"/>
      <c r="M86" s="253"/>
      <c r="N86" s="253"/>
      <c r="O86" s="22"/>
      <c r="P86" s="22"/>
      <c r="Q86" s="22"/>
      <c r="T86" s="1" t="str">
        <f t="shared" si="14"/>
        <v>May'29</v>
      </c>
      <c r="U86" s="1">
        <f t="shared" si="21"/>
        <v>0</v>
      </c>
      <c r="V86" s="1">
        <f t="shared" si="21"/>
        <v>0</v>
      </c>
      <c r="W86" s="1">
        <f t="shared" si="21"/>
        <v>0</v>
      </c>
      <c r="X86" s="1">
        <f t="shared" si="21"/>
        <v>0</v>
      </c>
      <c r="Z86" s="1" t="str">
        <f t="shared" si="16"/>
        <v>May'29</v>
      </c>
      <c r="AA86" s="18">
        <f t="shared" si="17"/>
        <v>0</v>
      </c>
      <c r="AB86" s="18">
        <f t="shared" si="18"/>
        <v>0</v>
      </c>
      <c r="BF86" s="8"/>
    </row>
    <row r="87" spans="5:58">
      <c r="E87" s="16"/>
      <c r="F87" s="254"/>
      <c r="J87" s="253"/>
      <c r="K87" s="253"/>
      <c r="L87" s="253"/>
      <c r="M87" s="253"/>
      <c r="N87" s="253"/>
      <c r="O87" s="22"/>
      <c r="P87" s="22"/>
      <c r="Q87" s="22"/>
      <c r="T87" s="1"/>
      <c r="U87" s="1">
        <f>U42</f>
        <v>0</v>
      </c>
      <c r="V87" s="1">
        <f>V42</f>
        <v>0</v>
      </c>
      <c r="W87" s="1">
        <f>W42</f>
        <v>0</v>
      </c>
      <c r="X87" s="1">
        <f>X42</f>
        <v>0</v>
      </c>
      <c r="Z87" s="1">
        <f t="shared" si="16"/>
        <v>0</v>
      </c>
      <c r="AA87" s="18">
        <f t="shared" si="17"/>
        <v>0</v>
      </c>
      <c r="AB87" s="18">
        <f t="shared" si="18"/>
        <v>0</v>
      </c>
      <c r="BF87" s="8"/>
    </row>
    <row r="88" spans="5:58">
      <c r="E88" s="16"/>
      <c r="F88" s="254"/>
      <c r="J88" s="253"/>
      <c r="K88" s="253"/>
      <c r="L88" s="253"/>
      <c r="M88" s="253"/>
      <c r="N88" s="253"/>
      <c r="O88" s="22"/>
      <c r="P88" s="22"/>
      <c r="Q88" s="22"/>
      <c r="BF88" s="8"/>
    </row>
    <row r="89" spans="5:58">
      <c r="E89" s="16"/>
      <c r="F89" s="254"/>
      <c r="J89" s="253"/>
      <c r="K89" s="253"/>
      <c r="L89" s="253"/>
      <c r="M89" s="253"/>
      <c r="N89" s="253"/>
      <c r="O89" s="22"/>
      <c r="P89" s="22"/>
      <c r="Q89" s="22"/>
      <c r="BF89" s="8"/>
    </row>
    <row r="90" spans="5:58">
      <c r="E90" s="16"/>
      <c r="F90" s="254"/>
      <c r="J90" s="253"/>
      <c r="K90" s="253"/>
      <c r="L90" s="253"/>
      <c r="M90" s="253"/>
      <c r="N90" s="253"/>
      <c r="O90" s="22"/>
      <c r="P90" s="22"/>
      <c r="Q90" s="22"/>
      <c r="BF90" s="8"/>
    </row>
    <row r="91" spans="5:58">
      <c r="R91" s="22"/>
      <c r="BF91" s="8"/>
    </row>
    <row r="92" spans="5:58">
      <c r="R92" s="22"/>
      <c r="BF92" s="8"/>
    </row>
    <row r="93" spans="5:58" ht="56">
      <c r="R93" s="22"/>
      <c r="T93" s="53" t="s">
        <v>210</v>
      </c>
      <c r="U93" s="53" t="s">
        <v>367</v>
      </c>
      <c r="V93" s="53" t="s">
        <v>368</v>
      </c>
      <c r="W93" s="53" t="s">
        <v>251</v>
      </c>
      <c r="X93" s="29" t="s">
        <v>378</v>
      </c>
      <c r="BF93" s="8"/>
    </row>
    <row r="94" spans="5:58">
      <c r="R94" s="22"/>
      <c r="T94" s="1" t="str">
        <f t="shared" ref="T94:T127" si="22">T54</f>
        <v>Sep'26</v>
      </c>
      <c r="U94" s="1">
        <f t="shared" ref="U94:X110" si="23">U54*7.5</f>
        <v>13520</v>
      </c>
      <c r="V94" s="1">
        <f t="shared" si="23"/>
        <v>54333.000000000007</v>
      </c>
      <c r="W94" s="1">
        <f t="shared" si="23"/>
        <v>0</v>
      </c>
      <c r="X94" s="63">
        <f t="shared" si="23"/>
        <v>0</v>
      </c>
      <c r="BF94" s="8"/>
    </row>
    <row r="95" spans="5:58">
      <c r="R95" s="22"/>
      <c r="T95" s="1" t="str">
        <f t="shared" si="22"/>
        <v>Oct'26</v>
      </c>
      <c r="U95" s="1">
        <f t="shared" si="23"/>
        <v>9533</v>
      </c>
      <c r="V95" s="1">
        <f t="shared" si="23"/>
        <v>27208</v>
      </c>
      <c r="W95" s="1">
        <f t="shared" si="23"/>
        <v>0</v>
      </c>
      <c r="X95" s="63">
        <f t="shared" si="23"/>
        <v>0</v>
      </c>
      <c r="BF95" s="8"/>
    </row>
    <row r="96" spans="5:58">
      <c r="R96" s="22"/>
      <c r="T96" s="1" t="str">
        <f t="shared" si="22"/>
        <v>Nov'26</v>
      </c>
      <c r="U96" s="1">
        <f t="shared" si="23"/>
        <v>7335</v>
      </c>
      <c r="V96" s="1">
        <f t="shared" si="23"/>
        <v>25835</v>
      </c>
      <c r="W96" s="1">
        <f t="shared" si="23"/>
        <v>0</v>
      </c>
      <c r="X96" s="63">
        <f t="shared" si="23"/>
        <v>0</v>
      </c>
      <c r="BF96" s="8"/>
    </row>
    <row r="97" spans="18:58">
      <c r="R97" s="22"/>
      <c r="T97" s="1" t="str">
        <f t="shared" si="22"/>
        <v>Dec'26</v>
      </c>
      <c r="U97" s="1">
        <f t="shared" si="23"/>
        <v>0</v>
      </c>
      <c r="V97" s="1">
        <f t="shared" si="23"/>
        <v>20319</v>
      </c>
      <c r="W97" s="1">
        <f t="shared" si="23"/>
        <v>0</v>
      </c>
      <c r="X97" s="63">
        <f t="shared" si="23"/>
        <v>0</v>
      </c>
      <c r="BF97" s="8"/>
    </row>
    <row r="98" spans="18:58">
      <c r="R98" s="22"/>
      <c r="T98" s="1" t="str">
        <f t="shared" si="22"/>
        <v>Jan'27</v>
      </c>
      <c r="U98" s="1">
        <f t="shared" si="23"/>
        <v>0</v>
      </c>
      <c r="V98" s="1">
        <f t="shared" si="23"/>
        <v>33239</v>
      </c>
      <c r="W98" s="1">
        <f t="shared" si="23"/>
        <v>0</v>
      </c>
      <c r="X98" s="63">
        <f t="shared" si="23"/>
        <v>0</v>
      </c>
      <c r="BF98" s="8"/>
    </row>
    <row r="99" spans="18:58">
      <c r="R99" s="22"/>
      <c r="T99" s="1" t="str">
        <f t="shared" si="22"/>
        <v>Feb'27</v>
      </c>
      <c r="U99" s="1">
        <f t="shared" si="23"/>
        <v>0</v>
      </c>
      <c r="V99" s="1">
        <f t="shared" si="23"/>
        <v>31419</v>
      </c>
      <c r="W99" s="1">
        <f t="shared" si="23"/>
        <v>0</v>
      </c>
      <c r="X99" s="63">
        <f t="shared" si="23"/>
        <v>0</v>
      </c>
      <c r="BF99" s="8"/>
    </row>
    <row r="100" spans="18:58">
      <c r="R100" s="22"/>
      <c r="T100" s="1" t="str">
        <f t="shared" si="22"/>
        <v>Mar'27</v>
      </c>
      <c r="U100" s="1">
        <f t="shared" si="23"/>
        <v>0</v>
      </c>
      <c r="V100" s="1">
        <f t="shared" si="23"/>
        <v>0</v>
      </c>
      <c r="W100" s="1">
        <f t="shared" si="23"/>
        <v>0</v>
      </c>
      <c r="X100" s="63">
        <f t="shared" si="23"/>
        <v>0</v>
      </c>
      <c r="BF100" s="8"/>
    </row>
    <row r="101" spans="18:58">
      <c r="R101" s="22"/>
      <c r="T101" s="1" t="str">
        <f t="shared" si="22"/>
        <v>Apr'27</v>
      </c>
      <c r="U101" s="1">
        <f t="shared" si="23"/>
        <v>0</v>
      </c>
      <c r="V101" s="1">
        <f t="shared" si="23"/>
        <v>0</v>
      </c>
      <c r="W101" s="1">
        <f t="shared" si="23"/>
        <v>0</v>
      </c>
      <c r="X101" s="63">
        <f t="shared" si="23"/>
        <v>0</v>
      </c>
      <c r="BF101" s="8"/>
    </row>
    <row r="102" spans="18:58">
      <c r="R102" s="22"/>
      <c r="T102" s="1" t="str">
        <f t="shared" si="22"/>
        <v>May'27</v>
      </c>
      <c r="U102" s="1">
        <f t="shared" si="23"/>
        <v>0</v>
      </c>
      <c r="V102" s="1">
        <f t="shared" si="23"/>
        <v>0</v>
      </c>
      <c r="W102" s="1">
        <f t="shared" si="23"/>
        <v>0</v>
      </c>
      <c r="X102" s="63">
        <f t="shared" si="23"/>
        <v>0</v>
      </c>
      <c r="BF102" s="8"/>
    </row>
    <row r="103" spans="18:58">
      <c r="R103" s="22"/>
      <c r="T103" s="1" t="str">
        <f t="shared" si="22"/>
        <v>Jun'27</v>
      </c>
      <c r="U103" s="1">
        <f t="shared" si="23"/>
        <v>0</v>
      </c>
      <c r="V103" s="1">
        <f t="shared" si="23"/>
        <v>0</v>
      </c>
      <c r="W103" s="1">
        <f t="shared" si="23"/>
        <v>0</v>
      </c>
      <c r="X103" s="63">
        <f t="shared" si="23"/>
        <v>0</v>
      </c>
      <c r="BF103" s="8"/>
    </row>
    <row r="104" spans="18:58">
      <c r="R104" s="22"/>
      <c r="T104" s="1" t="str">
        <f t="shared" si="22"/>
        <v>Jul'27</v>
      </c>
      <c r="U104" s="1">
        <f t="shared" si="23"/>
        <v>1519.0000000000002</v>
      </c>
      <c r="V104" s="1">
        <f t="shared" si="23"/>
        <v>0</v>
      </c>
      <c r="W104" s="1">
        <f t="shared" si="23"/>
        <v>237</v>
      </c>
      <c r="X104" s="63">
        <f t="shared" si="23"/>
        <v>0</v>
      </c>
      <c r="BF104" s="8"/>
    </row>
    <row r="105" spans="18:58">
      <c r="R105" s="22"/>
      <c r="T105" s="1" t="str">
        <f t="shared" si="22"/>
        <v>Aug'27</v>
      </c>
      <c r="U105" s="1">
        <f t="shared" si="23"/>
        <v>2596</v>
      </c>
      <c r="V105" s="1">
        <f t="shared" si="23"/>
        <v>0</v>
      </c>
      <c r="W105" s="1">
        <f t="shared" si="23"/>
        <v>405</v>
      </c>
      <c r="X105" s="63">
        <f t="shared" si="23"/>
        <v>0</v>
      </c>
      <c r="BF105" s="8"/>
    </row>
    <row r="106" spans="18:58">
      <c r="R106" s="22"/>
      <c r="T106" s="1" t="str">
        <f t="shared" si="22"/>
        <v>Sep'27</v>
      </c>
      <c r="U106" s="1">
        <f t="shared" si="23"/>
        <v>12760.000000000002</v>
      </c>
      <c r="V106" s="1">
        <f t="shared" si="23"/>
        <v>0</v>
      </c>
      <c r="W106" s="1">
        <f t="shared" si="23"/>
        <v>1993</v>
      </c>
      <c r="X106" s="63">
        <f t="shared" si="23"/>
        <v>0</v>
      </c>
      <c r="BF106" s="8"/>
    </row>
    <row r="107" spans="18:58">
      <c r="R107" s="22"/>
      <c r="T107" s="1" t="str">
        <f t="shared" si="22"/>
        <v>Oct'27</v>
      </c>
      <c r="U107" s="1">
        <f t="shared" si="23"/>
        <v>11265</v>
      </c>
      <c r="V107" s="1">
        <f t="shared" si="23"/>
        <v>0</v>
      </c>
      <c r="W107" s="1">
        <f t="shared" si="23"/>
        <v>1759</v>
      </c>
      <c r="X107" s="63">
        <f t="shared" si="23"/>
        <v>0</v>
      </c>
      <c r="BF107" s="8"/>
    </row>
    <row r="108" spans="18:58">
      <c r="R108" s="22"/>
      <c r="T108" s="1" t="str">
        <f t="shared" si="22"/>
        <v>Nov'27</v>
      </c>
      <c r="U108" s="1">
        <f t="shared" si="23"/>
        <v>9016</v>
      </c>
      <c r="V108" s="1">
        <f t="shared" si="23"/>
        <v>608</v>
      </c>
      <c r="W108" s="1">
        <f t="shared" si="23"/>
        <v>1409</v>
      </c>
      <c r="X108" s="63">
        <f t="shared" si="23"/>
        <v>0</v>
      </c>
      <c r="BF108" s="8"/>
    </row>
    <row r="109" spans="18:58">
      <c r="R109" s="22"/>
      <c r="T109" s="1" t="str">
        <f t="shared" si="22"/>
        <v>Dec'27</v>
      </c>
      <c r="U109" s="1">
        <f t="shared" si="23"/>
        <v>3090</v>
      </c>
      <c r="V109" s="1">
        <f t="shared" si="23"/>
        <v>1037</v>
      </c>
      <c r="W109" s="1">
        <f t="shared" si="23"/>
        <v>483.00000000000006</v>
      </c>
      <c r="X109" s="63">
        <f t="shared" si="23"/>
        <v>0</v>
      </c>
      <c r="BF109" s="8"/>
    </row>
    <row r="110" spans="18:58">
      <c r="R110" s="22"/>
      <c r="T110" s="1" t="str">
        <f t="shared" si="22"/>
        <v>Jan'28</v>
      </c>
      <c r="U110" s="1">
        <f t="shared" si="23"/>
        <v>7262</v>
      </c>
      <c r="V110" s="1">
        <f t="shared" si="23"/>
        <v>5096</v>
      </c>
      <c r="W110" s="1">
        <f t="shared" si="23"/>
        <v>1134</v>
      </c>
      <c r="X110" s="63">
        <f t="shared" si="23"/>
        <v>0</v>
      </c>
      <c r="BF110" s="8"/>
    </row>
    <row r="111" spans="18:58">
      <c r="R111" s="22"/>
      <c r="T111" s="1" t="str">
        <f t="shared" si="22"/>
        <v>Feb'28</v>
      </c>
      <c r="U111" s="1">
        <f t="shared" ref="U111:X127" si="24">U71*7.5</f>
        <v>7685.0000000000009</v>
      </c>
      <c r="V111" s="1">
        <f t="shared" si="24"/>
        <v>1914</v>
      </c>
      <c r="W111" s="1">
        <f t="shared" si="24"/>
        <v>1200</v>
      </c>
      <c r="X111" s="63">
        <f t="shared" si="24"/>
        <v>0</v>
      </c>
      <c r="BF111" s="8"/>
    </row>
    <row r="112" spans="18:58">
      <c r="R112" s="22"/>
      <c r="T112" s="1" t="str">
        <f t="shared" si="22"/>
        <v>Mar'28</v>
      </c>
      <c r="U112" s="1">
        <f t="shared" si="24"/>
        <v>9472</v>
      </c>
      <c r="V112" s="1">
        <f t="shared" si="24"/>
        <v>2590.0000000000005</v>
      </c>
      <c r="W112" s="1">
        <f t="shared" si="24"/>
        <v>1515</v>
      </c>
      <c r="X112" s="63">
        <f t="shared" si="24"/>
        <v>0</v>
      </c>
      <c r="BF112" s="8"/>
    </row>
    <row r="113" spans="18:58">
      <c r="R113" s="22"/>
      <c r="T113" s="1" t="str">
        <f t="shared" si="22"/>
        <v>Apr'28</v>
      </c>
      <c r="U113" s="1">
        <f t="shared" si="24"/>
        <v>10945.000000000002</v>
      </c>
      <c r="V113" s="1">
        <f t="shared" si="24"/>
        <v>3604</v>
      </c>
      <c r="W113" s="1">
        <f t="shared" si="24"/>
        <v>1710</v>
      </c>
      <c r="X113" s="63">
        <f t="shared" si="24"/>
        <v>0</v>
      </c>
      <c r="BF113" s="8"/>
    </row>
    <row r="114" spans="18:58">
      <c r="R114" s="22"/>
      <c r="T114" s="1" t="str">
        <f t="shared" si="22"/>
        <v>May'28</v>
      </c>
      <c r="U114" s="1">
        <f t="shared" si="24"/>
        <v>3939.0000000000005</v>
      </c>
      <c r="V114" s="1">
        <f t="shared" si="24"/>
        <v>4137</v>
      </c>
      <c r="W114" s="1">
        <f t="shared" si="24"/>
        <v>842</v>
      </c>
      <c r="X114" s="63">
        <f t="shared" si="24"/>
        <v>0</v>
      </c>
      <c r="BF114" s="8"/>
    </row>
    <row r="115" spans="18:58">
      <c r="R115" s="22"/>
      <c r="T115" s="1" t="str">
        <f t="shared" si="22"/>
        <v>Jun'28</v>
      </c>
      <c r="U115" s="1">
        <f t="shared" si="24"/>
        <v>5169.9999999999991</v>
      </c>
      <c r="V115" s="1">
        <f t="shared" si="24"/>
        <v>5038</v>
      </c>
      <c r="W115" s="1">
        <f t="shared" si="24"/>
        <v>1303</v>
      </c>
      <c r="X115" s="63">
        <f t="shared" si="24"/>
        <v>0</v>
      </c>
      <c r="BF115" s="8"/>
    </row>
    <row r="116" spans="18:58">
      <c r="R116" s="22"/>
      <c r="T116" s="1" t="str">
        <f t="shared" si="22"/>
        <v>Jul'28</v>
      </c>
      <c r="U116" s="1">
        <f t="shared" si="24"/>
        <v>5437</v>
      </c>
      <c r="V116" s="1">
        <f t="shared" si="24"/>
        <v>5331</v>
      </c>
      <c r="W116" s="1">
        <f t="shared" si="24"/>
        <v>1368</v>
      </c>
      <c r="X116" s="63">
        <f t="shared" si="24"/>
        <v>0</v>
      </c>
      <c r="BF116" s="8"/>
    </row>
    <row r="117" spans="18:58">
      <c r="R117" s="22"/>
      <c r="T117" s="1" t="str">
        <f t="shared" si="22"/>
        <v>Aug'28</v>
      </c>
      <c r="U117" s="1">
        <f t="shared" si="24"/>
        <v>1629</v>
      </c>
      <c r="V117" s="1">
        <f t="shared" si="24"/>
        <v>5382.9999999999991</v>
      </c>
      <c r="W117" s="1">
        <f t="shared" si="24"/>
        <v>410.00000000000006</v>
      </c>
      <c r="X117" s="63">
        <f t="shared" si="24"/>
        <v>0</v>
      </c>
      <c r="BF117" s="8"/>
    </row>
    <row r="118" spans="18:58">
      <c r="R118" s="22"/>
      <c r="T118" s="1" t="str">
        <f t="shared" si="22"/>
        <v>Sep'28</v>
      </c>
      <c r="U118" s="1">
        <f t="shared" si="24"/>
        <v>0</v>
      </c>
      <c r="V118" s="1">
        <f t="shared" si="24"/>
        <v>12058.000000000002</v>
      </c>
      <c r="W118" s="1">
        <f t="shared" si="24"/>
        <v>0</v>
      </c>
      <c r="X118" s="63">
        <f t="shared" si="24"/>
        <v>0</v>
      </c>
      <c r="BF118" s="8"/>
    </row>
    <row r="119" spans="18:58">
      <c r="R119" s="22"/>
      <c r="T119" s="1" t="str">
        <f t="shared" si="22"/>
        <v>Oct'28</v>
      </c>
      <c r="U119" s="1">
        <f t="shared" si="24"/>
        <v>0</v>
      </c>
      <c r="V119" s="1">
        <f t="shared" si="24"/>
        <v>10392</v>
      </c>
      <c r="W119" s="1">
        <f t="shared" si="24"/>
        <v>0</v>
      </c>
      <c r="X119" s="63">
        <f t="shared" si="24"/>
        <v>0</v>
      </c>
      <c r="BF119" s="8"/>
    </row>
    <row r="120" spans="18:58">
      <c r="R120" s="22"/>
      <c r="T120" s="1" t="str">
        <f t="shared" si="22"/>
        <v>Nov'28</v>
      </c>
      <c r="U120" s="1">
        <f t="shared" si="24"/>
        <v>0</v>
      </c>
      <c r="V120" s="1">
        <f t="shared" si="24"/>
        <v>3967.9999999999995</v>
      </c>
      <c r="W120" s="1">
        <f t="shared" si="24"/>
        <v>0</v>
      </c>
      <c r="X120" s="63">
        <f t="shared" si="24"/>
        <v>0</v>
      </c>
    </row>
    <row r="121" spans="18:58">
      <c r="R121" s="22"/>
      <c r="T121" s="1" t="str">
        <f t="shared" si="22"/>
        <v>Dec'28</v>
      </c>
      <c r="U121" s="1">
        <f t="shared" si="24"/>
        <v>0</v>
      </c>
      <c r="V121" s="1">
        <f t="shared" si="24"/>
        <v>0</v>
      </c>
      <c r="W121" s="1">
        <f t="shared" si="24"/>
        <v>0</v>
      </c>
      <c r="X121" s="63">
        <f t="shared" si="24"/>
        <v>0</v>
      </c>
    </row>
    <row r="122" spans="18:58">
      <c r="R122" s="22"/>
      <c r="T122" s="1" t="str">
        <f t="shared" si="22"/>
        <v>Jan'29</v>
      </c>
      <c r="U122" s="1">
        <f t="shared" si="24"/>
        <v>0</v>
      </c>
      <c r="V122" s="1">
        <f t="shared" si="24"/>
        <v>0</v>
      </c>
      <c r="W122" s="1">
        <f t="shared" si="24"/>
        <v>0</v>
      </c>
      <c r="X122" s="63">
        <f t="shared" si="24"/>
        <v>0</v>
      </c>
    </row>
    <row r="123" spans="18:58">
      <c r="R123" s="22"/>
      <c r="T123" s="1" t="str">
        <f t="shared" si="22"/>
        <v>Feb'29</v>
      </c>
      <c r="U123" s="1">
        <f t="shared" si="24"/>
        <v>0</v>
      </c>
      <c r="V123" s="1">
        <f t="shared" si="24"/>
        <v>0</v>
      </c>
      <c r="W123" s="1">
        <f t="shared" si="24"/>
        <v>0</v>
      </c>
      <c r="X123" s="63">
        <f t="shared" si="24"/>
        <v>0</v>
      </c>
    </row>
    <row r="124" spans="18:58">
      <c r="R124" s="22"/>
      <c r="T124" s="1" t="str">
        <f t="shared" si="22"/>
        <v>Mar'29</v>
      </c>
      <c r="U124" s="1">
        <f t="shared" si="24"/>
        <v>0</v>
      </c>
      <c r="V124" s="1">
        <f t="shared" si="24"/>
        <v>0</v>
      </c>
      <c r="W124" s="1">
        <f t="shared" si="24"/>
        <v>0</v>
      </c>
      <c r="X124" s="63">
        <f t="shared" si="24"/>
        <v>0</v>
      </c>
    </row>
    <row r="125" spans="18:58">
      <c r="R125" s="22"/>
      <c r="T125" s="1" t="str">
        <f t="shared" si="22"/>
        <v>Apr'29</v>
      </c>
      <c r="U125" s="1">
        <f t="shared" si="24"/>
        <v>0</v>
      </c>
      <c r="V125" s="1">
        <f t="shared" si="24"/>
        <v>0</v>
      </c>
      <c r="W125" s="1">
        <f t="shared" si="24"/>
        <v>0</v>
      </c>
      <c r="X125" s="63">
        <f t="shared" si="24"/>
        <v>0</v>
      </c>
    </row>
    <row r="126" spans="18:58">
      <c r="R126" s="22"/>
      <c r="T126" s="1" t="str">
        <f t="shared" si="22"/>
        <v>May'29</v>
      </c>
      <c r="U126" s="1">
        <f t="shared" si="24"/>
        <v>0</v>
      </c>
      <c r="V126" s="1">
        <f t="shared" si="24"/>
        <v>0</v>
      </c>
      <c r="W126" s="1">
        <f t="shared" si="24"/>
        <v>0</v>
      </c>
      <c r="X126" s="63">
        <f t="shared" si="24"/>
        <v>0</v>
      </c>
    </row>
    <row r="127" spans="18:58">
      <c r="R127" s="22"/>
      <c r="T127" s="1">
        <f t="shared" si="22"/>
        <v>0</v>
      </c>
      <c r="U127" s="1">
        <f t="shared" si="24"/>
        <v>0</v>
      </c>
      <c r="V127" s="1">
        <f t="shared" si="24"/>
        <v>0</v>
      </c>
      <c r="W127" s="1">
        <f t="shared" si="24"/>
        <v>0</v>
      </c>
      <c r="X127" s="63">
        <f t="shared" si="24"/>
        <v>0</v>
      </c>
    </row>
    <row r="128" spans="18:58">
      <c r="R128" s="22"/>
    </row>
    <row r="129" spans="7:18">
      <c r="R129" s="22"/>
    </row>
    <row r="130" spans="7:18">
      <c r="G130" s="4"/>
      <c r="H130" s="4"/>
      <c r="I130" s="4"/>
      <c r="R130" s="22"/>
    </row>
    <row r="131" spans="7:18">
      <c r="G131" s="4"/>
      <c r="H131" s="4"/>
      <c r="I131" s="4"/>
      <c r="R131" s="22"/>
    </row>
    <row r="132" spans="7:18">
      <c r="G132" s="4"/>
      <c r="H132" s="4"/>
      <c r="I132" s="4"/>
      <c r="R132" s="22"/>
    </row>
    <row r="133" spans="7:18">
      <c r="G133" s="4"/>
      <c r="H133" s="4"/>
      <c r="I133" s="4"/>
      <c r="R133" s="22"/>
    </row>
    <row r="134" spans="7:18">
      <c r="G134" s="4"/>
      <c r="H134" s="4"/>
      <c r="I134" s="4"/>
      <c r="R134" s="22"/>
    </row>
    <row r="135" spans="7:18">
      <c r="G135" s="4"/>
      <c r="H135" s="4"/>
      <c r="I135" s="4"/>
      <c r="R135" s="22"/>
    </row>
    <row r="136" spans="7:18">
      <c r="G136" s="4"/>
      <c r="H136" s="4"/>
      <c r="I136" s="4"/>
      <c r="R136" s="22"/>
    </row>
    <row r="137" spans="7:18">
      <c r="G137" s="4"/>
      <c r="H137" s="4"/>
      <c r="I137" s="4"/>
      <c r="R137" s="22"/>
    </row>
    <row r="138" spans="7:18">
      <c r="G138" s="4"/>
      <c r="H138" s="4"/>
      <c r="I138" s="4"/>
      <c r="R138" s="22"/>
    </row>
    <row r="139" spans="7:18">
      <c r="G139" s="4"/>
      <c r="H139" s="4"/>
      <c r="I139" s="4"/>
      <c r="R139" s="22"/>
    </row>
    <row r="140" spans="7:18">
      <c r="G140" s="4"/>
      <c r="H140" s="4"/>
      <c r="I140" s="4"/>
      <c r="R140" s="22"/>
    </row>
    <row r="141" spans="7:18">
      <c r="G141" s="4"/>
      <c r="H141" s="4"/>
      <c r="I141" s="4"/>
      <c r="R141" s="22"/>
    </row>
    <row r="142" spans="7:18">
      <c r="G142" s="4"/>
      <c r="H142" s="4"/>
      <c r="I142" s="4"/>
      <c r="R142" s="22"/>
    </row>
    <row r="143" spans="7:18">
      <c r="G143" s="4"/>
      <c r="H143" s="4"/>
      <c r="I143" s="4"/>
      <c r="R143" s="22"/>
    </row>
    <row r="144" spans="7:18">
      <c r="G144" s="4"/>
      <c r="H144" s="4"/>
      <c r="I144" s="4"/>
      <c r="R144" s="22"/>
    </row>
    <row r="145" spans="7:18">
      <c r="G145" s="4"/>
      <c r="H145" s="4"/>
      <c r="I145" s="4"/>
      <c r="R145" s="22"/>
    </row>
    <row r="146" spans="7:18">
      <c r="G146" s="4"/>
      <c r="H146" s="4"/>
      <c r="I146" s="4"/>
      <c r="R146" s="22"/>
    </row>
    <row r="147" spans="7:18">
      <c r="R147" s="22"/>
    </row>
    <row r="148" spans="7:18">
      <c r="R148" s="22"/>
    </row>
    <row r="149" spans="7:18">
      <c r="R149" s="22"/>
    </row>
    <row r="150" spans="7:18">
      <c r="R150" s="22"/>
    </row>
    <row r="151" spans="7:18">
      <c r="R151" s="22"/>
    </row>
    <row r="159" spans="7:18">
      <c r="G159" s="4"/>
      <c r="H159" s="4"/>
      <c r="I159" s="4"/>
    </row>
    <row r="160" spans="7:18">
      <c r="G160" s="4"/>
      <c r="H160" s="4"/>
      <c r="I160" s="4"/>
    </row>
    <row r="161" s="4" customFormat="1"/>
    <row r="162" s="4" customFormat="1"/>
    <row r="163" s="4" customFormat="1"/>
    <row r="164" s="4" customFormat="1"/>
    <row r="165" s="4" customFormat="1"/>
    <row r="166" s="4" customFormat="1"/>
    <row r="167" s="4" customFormat="1"/>
    <row r="168" s="4" customFormat="1"/>
    <row r="169" s="4" customFormat="1"/>
  </sheetData>
  <phoneticPr fontId="23" type="noConversion"/>
  <conditionalFormatting sqref="G2:G11">
    <cfRule type="expression" dxfId="65" priority="52">
      <formula>#REF!</formula>
    </cfRule>
    <cfRule type="expression" dxfId="64" priority="51">
      <formula>#REF!</formula>
    </cfRule>
    <cfRule type="cellIs" dxfId="63" priority="50" operator="equal">
      <formula>#REF!</formula>
    </cfRule>
  </conditionalFormatting>
  <conditionalFormatting sqref="G2:G17">
    <cfRule type="cellIs" dxfId="62" priority="53" operator="equal">
      <formula>#REF!</formula>
    </cfRule>
    <cfRule type="expression" dxfId="61" priority="49">
      <formula>#REF!</formula>
    </cfRule>
    <cfRule type="expression" dxfId="60" priority="42">
      <formula>#REF!</formula>
    </cfRule>
  </conditionalFormatting>
  <conditionalFormatting sqref="G8:G11">
    <cfRule type="expression" dxfId="59" priority="48">
      <formula>#REF!</formula>
    </cfRule>
  </conditionalFormatting>
  <conditionalFormatting sqref="G9:G11">
    <cfRule type="cellIs" dxfId="58" priority="47" operator="equal">
      <formula>#REF!</formula>
    </cfRule>
    <cfRule type="expression" dxfId="57" priority="46">
      <formula>#REF!</formula>
    </cfRule>
  </conditionalFormatting>
  <conditionalFormatting sqref="G9:G12">
    <cfRule type="expression" dxfId="56" priority="45">
      <formula>#REF!</formula>
    </cfRule>
    <cfRule type="cellIs" dxfId="55" priority="44" operator="equal">
      <formula>#REF!</formula>
    </cfRule>
    <cfRule type="expression" dxfId="54" priority="43">
      <formula>#REF!</formula>
    </cfRule>
  </conditionalFormatting>
  <conditionalFormatting sqref="G11:G12">
    <cfRule type="cellIs" dxfId="53" priority="41" operator="equal">
      <formula>#REF!</formula>
    </cfRule>
    <cfRule type="expression" dxfId="52" priority="40">
      <formula>#REF!</formula>
    </cfRule>
    <cfRule type="expression" dxfId="51" priority="39">
      <formula>#REF!</formula>
    </cfRule>
  </conditionalFormatting>
  <conditionalFormatting sqref="G12:G17">
    <cfRule type="expression" dxfId="50" priority="36">
      <formula>#REF!</formula>
    </cfRule>
    <cfRule type="cellIs" dxfId="49" priority="38" operator="equal">
      <formula>#REF!</formula>
    </cfRule>
    <cfRule type="expression" dxfId="48" priority="37">
      <formula>#REF!</formula>
    </cfRule>
  </conditionalFormatting>
  <conditionalFormatting sqref="G16:G17">
    <cfRule type="expression" dxfId="47" priority="54">
      <formula>#REF!</formula>
    </cfRule>
    <cfRule type="cellIs" dxfId="46" priority="56" operator="equal">
      <formula>#REF!</formula>
    </cfRule>
    <cfRule type="expression" dxfId="45" priority="55">
      <formula>#REF!</formula>
    </cfRule>
  </conditionalFormatting>
  <conditionalFormatting sqref="G20">
    <cfRule type="containsText" dxfId="44" priority="31" operator="containsText" text="False">
      <formula>NOT(ISERROR(SEARCH("False",G20)))</formula>
    </cfRule>
  </conditionalFormatting>
  <conditionalFormatting sqref="G23">
    <cfRule type="cellIs" dxfId="43" priority="33" operator="equal">
      <formula>#REF!</formula>
    </cfRule>
    <cfRule type="expression" dxfId="42" priority="35">
      <formula>#REF!</formula>
    </cfRule>
    <cfRule type="expression" dxfId="41" priority="34">
      <formula>#REF!</formula>
    </cfRule>
    <cfRule type="expression" dxfId="40" priority="32">
      <formula>#REF!</formula>
    </cfRule>
  </conditionalFormatting>
  <conditionalFormatting sqref="G80:G86">
    <cfRule type="expression" dxfId="39" priority="169">
      <formula>#REF!</formula>
    </cfRule>
    <cfRule type="expression" dxfId="38" priority="412">
      <formula>#REF!</formula>
    </cfRule>
    <cfRule type="cellIs" dxfId="37" priority="413" operator="equal">
      <formula>#REF!</formula>
    </cfRule>
    <cfRule type="expression" dxfId="36" priority="414">
      <formula>#REF!</formula>
    </cfRule>
  </conditionalFormatting>
  <conditionalFormatting sqref="G87:G90">
    <cfRule type="expression" dxfId="35" priority="429">
      <formula>#REF!</formula>
    </cfRule>
    <cfRule type="expression" dxfId="34" priority="430">
      <formula>#REF!</formula>
    </cfRule>
    <cfRule type="cellIs" dxfId="33" priority="454" operator="equal">
      <formula>#REF!</formula>
    </cfRule>
    <cfRule type="expression" dxfId="32" priority="455">
      <formula>#REF!</formula>
    </cfRule>
  </conditionalFormatting>
  <conditionalFormatting sqref="G90">
    <cfRule type="expression" dxfId="31" priority="427">
      <formula>#REF!</formula>
    </cfRule>
    <cfRule type="expression" dxfId="30" priority="428">
      <formula>#REF!</formula>
    </cfRule>
  </conditionalFormatting>
  <conditionalFormatting sqref="G28:H71">
    <cfRule type="expression" dxfId="29" priority="30">
      <formula>#REF!</formula>
    </cfRule>
    <cfRule type="cellIs" dxfId="28" priority="29" operator="equal">
      <formula>#REF!</formula>
    </cfRule>
    <cfRule type="expression" dxfId="27" priority="28">
      <formula>#REF!</formula>
    </cfRule>
  </conditionalFormatting>
  <conditionalFormatting sqref="H5">
    <cfRule type="containsText" dxfId="26" priority="7" operator="containsText" text="1-Jan-2025">
      <formula>NOT(ISERROR(SEARCH("1-Jan-2025",H5)))</formula>
    </cfRule>
  </conditionalFormatting>
  <conditionalFormatting sqref="H5:H8">
    <cfRule type="expression" dxfId="25" priority="8">
      <formula>#REF!</formula>
    </cfRule>
    <cfRule type="cellIs" dxfId="24" priority="6" operator="equal">
      <formula>#REF!</formula>
    </cfRule>
    <cfRule type="expression" dxfId="23" priority="5">
      <formula>#REF!</formula>
    </cfRule>
  </conditionalFormatting>
  <conditionalFormatting sqref="H6">
    <cfRule type="cellIs" dxfId="22" priority="17" operator="equal">
      <formula>#REF!</formula>
    </cfRule>
    <cfRule type="expression" dxfId="21" priority="16">
      <formula>#REF!</formula>
    </cfRule>
    <cfRule type="expression" dxfId="20" priority="15">
      <formula>#REF!</formula>
    </cfRule>
  </conditionalFormatting>
  <conditionalFormatting sqref="H7:H9">
    <cfRule type="expression" dxfId="19" priority="4">
      <formula>#REF!</formula>
    </cfRule>
    <cfRule type="cellIs" dxfId="18" priority="2" operator="equal">
      <formula>#REF!</formula>
    </cfRule>
  </conditionalFormatting>
  <conditionalFormatting sqref="H7:H27">
    <cfRule type="expression" dxfId="17" priority="1">
      <formula>#REF!</formula>
    </cfRule>
  </conditionalFormatting>
  <conditionalFormatting sqref="H8">
    <cfRule type="cellIs" dxfId="16" priority="20" operator="equal">
      <formula>#REF!</formula>
    </cfRule>
    <cfRule type="expression" dxfId="15" priority="19">
      <formula>#REF!</formula>
    </cfRule>
    <cfRule type="expression" dxfId="14" priority="18">
      <formula>#REF!</formula>
    </cfRule>
  </conditionalFormatting>
  <conditionalFormatting sqref="H9">
    <cfRule type="containsText" dxfId="13" priority="3" operator="containsText" text="1-Jan-2025">
      <formula>NOT(ISERROR(SEARCH("1-Jan-2025",H9)))</formula>
    </cfRule>
  </conditionalFormatting>
  <conditionalFormatting sqref="H10:H71">
    <cfRule type="cellIs" dxfId="12" priority="26" operator="equal">
      <formula>#REF!</formula>
    </cfRule>
    <cfRule type="expression" dxfId="11" priority="25">
      <formula>#REF!</formula>
    </cfRule>
  </conditionalFormatting>
  <conditionalFormatting sqref="H28:H71">
    <cfRule type="expression" dxfId="10" priority="27">
      <formula>#REF!</formula>
    </cfRule>
  </conditionalFormatting>
  <conditionalFormatting sqref="H53:H71">
    <cfRule type="expression" dxfId="9" priority="21">
      <formula>#REF!</formula>
    </cfRule>
  </conditionalFormatting>
  <conditionalFormatting sqref="H54:H71">
    <cfRule type="expression" dxfId="8" priority="24">
      <formula>#REF!</formula>
    </cfRule>
    <cfRule type="cellIs" dxfId="7" priority="23" operator="equal">
      <formula>#REF!</formula>
    </cfRule>
    <cfRule type="expression" dxfId="6" priority="22">
      <formula>#REF!</formula>
    </cfRule>
  </conditionalFormatting>
  <conditionalFormatting sqref="H80:H90">
    <cfRule type="expression" dxfId="5" priority="498">
      <formula>#REF!</formula>
    </cfRule>
    <cfRule type="cellIs" dxfId="4" priority="499" operator="equal">
      <formula>#REF!</formula>
    </cfRule>
  </conditionalFormatting>
  <conditionalFormatting sqref="I2:I71 H80:I90">
    <cfRule type="expression" dxfId="3" priority="156">
      <formula>#REF!</formula>
    </cfRule>
  </conditionalFormatting>
  <conditionalFormatting sqref="I2:I71 I80:I90">
    <cfRule type="cellIs" dxfId="2" priority="154" operator="equal">
      <formula>#REF!</formula>
    </cfRule>
    <cfRule type="expression" dxfId="1" priority="155">
      <formula>#REF!</formula>
    </cfRule>
  </conditionalFormatting>
  <conditionalFormatting sqref="AQ1:AQ25">
    <cfRule type="containsText" dxfId="0" priority="1068" operator="containsText" text="False">
      <formula>NOT(ISERROR(SEARCH("False",AQ1)))</formula>
    </cfRule>
  </conditionalFormatting>
  <pageMargins left="0.7" right="0.7" top="0.75" bottom="0.75" header="0.3" footer="0.3"/>
  <pageSetup paperSize="9" orientation="portrait" horizontalDpi="0" verticalDpi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B45127-EB16-D34B-8249-EEA5E4879BE7}">
  <sheetPr codeName="Sheet18"/>
  <dimension ref="V29:V32"/>
  <sheetViews>
    <sheetView showGridLines="0" topLeftCell="R1" zoomScale="120" zoomScaleNormal="120" workbookViewId="0">
      <selection activeCell="S28" sqref="S28"/>
    </sheetView>
  </sheetViews>
  <sheetFormatPr baseColWidth="10" defaultColWidth="7" defaultRowHeight="16"/>
  <cols>
    <col min="1" max="1" width="2.6640625" customWidth="1"/>
  </cols>
  <sheetData>
    <row r="29" spans="22:22">
      <c r="V29" s="234"/>
    </row>
    <row r="31" spans="22:22">
      <c r="V31" s="234"/>
    </row>
    <row r="32" spans="22:22">
      <c r="V32" s="235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LTP 21-Sep-26</vt:lpstr>
      <vt:lpstr>Planner Sequence</vt:lpstr>
      <vt:lpstr>Country End date</vt:lpstr>
      <vt:lpstr>Variance in LTP vs LTP</vt:lpstr>
      <vt:lpstr>Demand vs Supply</vt:lpstr>
      <vt:lpstr>HC Distribution</vt:lpstr>
      <vt:lpstr>Inventory</vt:lpstr>
      <vt:lpstr>Wave wise Effort</vt:lpstr>
      <vt:lpstr>Monthly Inventory</vt:lpstr>
      <vt:lpstr>Monthly supply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Gopikrishna R</dc:creator>
  <cp:lastModifiedBy>R Gopikrishna</cp:lastModifiedBy>
  <dcterms:created xsi:type="dcterms:W3CDTF">2023-03-27T04:36:17Z</dcterms:created>
  <dcterms:modified xsi:type="dcterms:W3CDTF">2026-09-24T07:54:07Z</dcterms:modified>
</cp:coreProperties>
</file>